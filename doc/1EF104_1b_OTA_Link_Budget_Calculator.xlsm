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imon_mi\Documents\Organisation\Veröffentlichungen\OTA Link Budget\Final\"/>
    </mc:Choice>
  </mc:AlternateContent>
  <workbookProtection workbookPassword="C469" lockStructure="1"/>
  <bookViews>
    <workbookView xWindow="240" yWindow="105" windowWidth="13860" windowHeight="5475"/>
  </bookViews>
  <sheets>
    <sheet name="Main" sheetId="1" r:id="rId1"/>
    <sheet name="Horn Calculator" sheetId="2" r:id="rId2"/>
    <sheet name="Calculations" sheetId="3" r:id="rId3"/>
  </sheets>
  <functionGroups builtInGroupCount="18"/>
  <calcPr calcId="162913"/>
</workbook>
</file>

<file path=xl/calcChain.xml><?xml version="1.0" encoding="utf-8"?>
<calcChain xmlns="http://schemas.openxmlformats.org/spreadsheetml/2006/main">
  <c r="E40" i="1" l="1"/>
  <c r="E41" i="1" s="1"/>
  <c r="E9" i="1"/>
  <c r="C10" i="2" l="1"/>
  <c r="C12" i="2" s="1"/>
  <c r="C11" i="2"/>
  <c r="D10" i="2"/>
  <c r="D12" i="2" s="1"/>
  <c r="D11" i="2"/>
  <c r="E11" i="2"/>
  <c r="E12" i="2"/>
  <c r="E13" i="2" s="1"/>
  <c r="E15" i="2" s="1"/>
  <c r="E10" i="2"/>
  <c r="C13" i="2" l="1"/>
  <c r="C15" i="2" s="1"/>
  <c r="D13" i="2"/>
  <c r="D15" i="2" s="1"/>
  <c r="E14" i="2"/>
  <c r="E16" i="2" s="1"/>
  <c r="H11" i="2"/>
  <c r="G11" i="2"/>
  <c r="F11" i="2"/>
  <c r="H10" i="2"/>
  <c r="G10" i="2"/>
  <c r="F10" i="2"/>
  <c r="C14" i="2" l="1"/>
  <c r="C16" i="2" s="1"/>
  <c r="D14" i="2"/>
  <c r="D16" i="2" s="1"/>
  <c r="E17" i="2"/>
  <c r="E19" i="2" s="1"/>
  <c r="E18" i="2"/>
  <c r="E20" i="2"/>
  <c r="H12" i="2"/>
  <c r="H13" i="2" s="1"/>
  <c r="H15" i="2" s="1"/>
  <c r="G12" i="2"/>
  <c r="G13" i="2" s="1"/>
  <c r="G15" i="2" s="1"/>
  <c r="F12" i="2"/>
  <c r="F13" i="2" s="1"/>
  <c r="F15" i="2" s="1"/>
  <c r="C20" i="2" l="1"/>
  <c r="C17" i="2"/>
  <c r="D17" i="2"/>
  <c r="D19" i="2" s="1"/>
  <c r="D20" i="2"/>
  <c r="F14" i="2"/>
  <c r="F16" i="2" s="1"/>
  <c r="F20" i="2" s="1"/>
  <c r="G14" i="2"/>
  <c r="G16" i="2" s="1"/>
  <c r="G20" i="2" s="1"/>
  <c r="H14" i="2"/>
  <c r="H16" i="2" s="1"/>
  <c r="H20" i="2" s="1"/>
  <c r="F17" i="2" l="1"/>
  <c r="F19" i="2" s="1"/>
  <c r="C19" i="2"/>
  <c r="C18" i="2"/>
  <c r="D18" i="2"/>
  <c r="H17" i="2"/>
  <c r="H19" i="2" s="1"/>
  <c r="G17" i="2"/>
  <c r="G19" i="2" s="1"/>
  <c r="F18" i="2"/>
  <c r="G18" i="2" l="1"/>
  <c r="H18" i="2"/>
</calcChain>
</file>

<file path=xl/sharedStrings.xml><?xml version="1.0" encoding="utf-8"?>
<sst xmlns="http://schemas.openxmlformats.org/spreadsheetml/2006/main" count="233" uniqueCount="209">
  <si>
    <t>G_Rx</t>
  </si>
  <si>
    <t>A_Rx</t>
  </si>
  <si>
    <t>FSPL</t>
  </si>
  <si>
    <t>Frequency</t>
  </si>
  <si>
    <t>Parameter</t>
  </si>
  <si>
    <t>Unit</t>
  </si>
  <si>
    <t>Value</t>
  </si>
  <si>
    <t>GHz</t>
  </si>
  <si>
    <t>dBm</t>
  </si>
  <si>
    <t>dB</t>
  </si>
  <si>
    <t>m</t>
  </si>
  <si>
    <t>Symbol</t>
  </si>
  <si>
    <t>Cable Loss</t>
  </si>
  <si>
    <t>Free Space Path Loss</t>
  </si>
  <si>
    <t>Far Field Distance</t>
  </si>
  <si>
    <t>d_f</t>
  </si>
  <si>
    <t>D</t>
  </si>
  <si>
    <t>Wavelength</t>
  </si>
  <si>
    <t>l</t>
  </si>
  <si>
    <t>EIRP</t>
  </si>
  <si>
    <t>Equivalent Isotropically Radiated Power</t>
  </si>
  <si>
    <t>Bandwidth</t>
  </si>
  <si>
    <t>Antenna Parameters</t>
  </si>
  <si>
    <t>SNR_In</t>
  </si>
  <si>
    <t>dBm/Hz</t>
  </si>
  <si>
    <t>G_LNA</t>
  </si>
  <si>
    <t>NF_LNA</t>
  </si>
  <si>
    <t>DANL_RX</t>
  </si>
  <si>
    <t>MHz</t>
  </si>
  <si>
    <t>P_Rx</t>
  </si>
  <si>
    <t>SNR_Rx</t>
  </si>
  <si>
    <t>Source: Balanis, "Modern Antenna Handbook", p.118-119</t>
  </si>
  <si>
    <t>WR-15</t>
  </si>
  <si>
    <t>Inputs:</t>
  </si>
  <si>
    <t>Waveguide width</t>
  </si>
  <si>
    <t>a [m]</t>
  </si>
  <si>
    <t>Waveguide height</t>
  </si>
  <si>
    <t>b [m]</t>
  </si>
  <si>
    <t>Target gain</t>
  </si>
  <si>
    <t>G_dBi [dBi]</t>
  </si>
  <si>
    <t>f [GHz]</t>
  </si>
  <si>
    <t>Outputs:</t>
  </si>
  <si>
    <t>Gain linear</t>
  </si>
  <si>
    <t>G_l [i]</t>
  </si>
  <si>
    <t>Free-space wavelength</t>
  </si>
  <si>
    <t>lambda_0 [m]</t>
  </si>
  <si>
    <t>Aperture width</t>
  </si>
  <si>
    <t>A [m]</t>
  </si>
  <si>
    <t>R_H [m]</t>
  </si>
  <si>
    <t>L_H [m]</t>
  </si>
  <si>
    <t>D_H [m]</t>
  </si>
  <si>
    <t>Aperture height</t>
  </si>
  <si>
    <t>B [m]</t>
  </si>
  <si>
    <t>R_E [m]</t>
  </si>
  <si>
    <t>L_E [m]</t>
  </si>
  <si>
    <t>D_E [m]</t>
  </si>
  <si>
    <t>Aperture diagonal</t>
  </si>
  <si>
    <t>Aperture Diagonal</t>
  </si>
  <si>
    <t>D [m]</t>
  </si>
  <si>
    <t>WR-12</t>
  </si>
  <si>
    <t>Waveguide Frequency Ranges, Dimensions and Designations</t>
  </si>
  <si>
    <t>Range</t>
  </si>
  <si>
    <t>Internal</t>
  </si>
  <si>
    <t>Official Designations</t>
  </si>
  <si>
    <t>(inches)</t>
  </si>
  <si>
    <t>(mm. approx)</t>
  </si>
  <si>
    <t>I.E.C.</t>
  </si>
  <si>
    <t>U.S. (EIA)</t>
  </si>
  <si>
    <t>8.2 - 12.4</t>
  </si>
  <si>
    <t>0.9 x 0.4</t>
  </si>
  <si>
    <t>23.0 x 10.0</t>
  </si>
  <si>
    <t>R100</t>
  </si>
  <si>
    <t>WG16</t>
  </si>
  <si>
    <t>WR90</t>
  </si>
  <si>
    <t>10.0 - 15.0</t>
  </si>
  <si>
    <t>0.75 x 0.375</t>
  </si>
  <si>
    <t>19.0 x 9.5</t>
  </si>
  <si>
    <t>R120</t>
  </si>
  <si>
    <t>WG17</t>
  </si>
  <si>
    <t>WR75</t>
  </si>
  <si>
    <t>12.4 - 18.0</t>
  </si>
  <si>
    <t>0.622 x 0.311</t>
  </si>
  <si>
    <t>16.0 x 7.9</t>
  </si>
  <si>
    <t>R140</t>
  </si>
  <si>
    <t>WG18</t>
  </si>
  <si>
    <t>WR62</t>
  </si>
  <si>
    <t>15.0 - 22.0</t>
  </si>
  <si>
    <t>0.510 x 0.255</t>
  </si>
  <si>
    <t>13.0 x 5.8</t>
  </si>
  <si>
    <t>R180</t>
  </si>
  <si>
    <t>WG19</t>
  </si>
  <si>
    <t>WR51</t>
  </si>
  <si>
    <t>18.0 - 26.5</t>
  </si>
  <si>
    <t>0.420 x 0.170</t>
  </si>
  <si>
    <t>11.0 x 4.3</t>
  </si>
  <si>
    <t>R220</t>
  </si>
  <si>
    <t>WG20</t>
  </si>
  <si>
    <t>WR42</t>
  </si>
  <si>
    <t>22.0 - 33.0</t>
  </si>
  <si>
    <t>0.340 x 0.170</t>
  </si>
  <si>
    <t>8.6 x 4.3</t>
  </si>
  <si>
    <t>R260</t>
  </si>
  <si>
    <t>WG21</t>
  </si>
  <si>
    <t>WR34</t>
  </si>
  <si>
    <t>26.5 - 40.0</t>
  </si>
  <si>
    <t>0.280 x 0.140</t>
  </si>
  <si>
    <t>7.1 x 3.6</t>
  </si>
  <si>
    <t>R320</t>
  </si>
  <si>
    <t>WG22</t>
  </si>
  <si>
    <t xml:space="preserve">WR28 </t>
  </si>
  <si>
    <t>33.0 - 50.0</t>
  </si>
  <si>
    <t>0.224 x 0.112</t>
  </si>
  <si>
    <t>5.7 x 2.9</t>
  </si>
  <si>
    <t>R400</t>
  </si>
  <si>
    <t xml:space="preserve">WG23 </t>
  </si>
  <si>
    <t>WR22</t>
  </si>
  <si>
    <t>40.0 - 60.0</t>
  </si>
  <si>
    <t>0.188 x 0.094</t>
  </si>
  <si>
    <t>4.8 x 2.4</t>
  </si>
  <si>
    <t>R500</t>
  </si>
  <si>
    <t>WG24</t>
  </si>
  <si>
    <t>WR19</t>
  </si>
  <si>
    <t>50.0 - 75.0</t>
  </si>
  <si>
    <t>0.148 x 0.074</t>
  </si>
  <si>
    <t>3.8 x 1.9</t>
  </si>
  <si>
    <t>R620</t>
  </si>
  <si>
    <t>WG25</t>
  </si>
  <si>
    <t>WR15</t>
  </si>
  <si>
    <t>60.0 - 90.0</t>
  </si>
  <si>
    <t>0.122 x 0.061</t>
  </si>
  <si>
    <t>3.1 x 1.6</t>
  </si>
  <si>
    <t>R740</t>
  </si>
  <si>
    <t>WG26</t>
  </si>
  <si>
    <t>WR12</t>
  </si>
  <si>
    <t>75.0 - 110.0</t>
  </si>
  <si>
    <t>0.100 x 0.050</t>
  </si>
  <si>
    <t>2.4 x 1.3</t>
  </si>
  <si>
    <t>R900</t>
  </si>
  <si>
    <t>WG27</t>
  </si>
  <si>
    <t>WR10</t>
  </si>
  <si>
    <t>90.0 - 140.0</t>
  </si>
  <si>
    <t>0.080 x 0.040</t>
  </si>
  <si>
    <t>2.0 x 1.0</t>
  </si>
  <si>
    <t>R1200</t>
  </si>
  <si>
    <t>WG28</t>
  </si>
  <si>
    <t>WR8</t>
  </si>
  <si>
    <t>110.0 - 170.0</t>
  </si>
  <si>
    <t>0.065 x 0.0325</t>
  </si>
  <si>
    <t>1.7 x 0.82</t>
  </si>
  <si>
    <t>WG29</t>
  </si>
  <si>
    <t>WR7</t>
  </si>
  <si>
    <t>140.0 - 220.0</t>
  </si>
  <si>
    <t>0.051 x 0.0255</t>
  </si>
  <si>
    <t>1.3 x 0.65</t>
  </si>
  <si>
    <t>WG30</t>
  </si>
  <si>
    <t>WR5</t>
  </si>
  <si>
    <t>170.0 - 260.0</t>
  </si>
  <si>
    <t>0.043 x 0.0215</t>
  </si>
  <si>
    <t>1.1 x 0.55</t>
  </si>
  <si>
    <t>WG31</t>
  </si>
  <si>
    <t>WR4</t>
  </si>
  <si>
    <t>220.0 - 325.0</t>
  </si>
  <si>
    <t>0.034 x 0.017</t>
  </si>
  <si>
    <t>0.87 x 0.44</t>
  </si>
  <si>
    <t>WG32</t>
  </si>
  <si>
    <t>WR3</t>
  </si>
  <si>
    <t>WR-10</t>
  </si>
  <si>
    <t>WR-19</t>
  </si>
  <si>
    <t>40 - 60</t>
  </si>
  <si>
    <t>50 - 75</t>
  </si>
  <si>
    <t>60 - 90</t>
  </si>
  <si>
    <t>75 - 110</t>
  </si>
  <si>
    <t>WR-22</t>
  </si>
  <si>
    <t>33 - 50</t>
  </si>
  <si>
    <t>WR-28</t>
  </si>
  <si>
    <t>26,5 - 40</t>
  </si>
  <si>
    <t>U.K. (RCSR)</t>
  </si>
  <si>
    <t>Frequency Range</t>
  </si>
  <si>
    <t>Pout</t>
  </si>
  <si>
    <t>Stage</t>
  </si>
  <si>
    <t>N_Rx</t>
  </si>
  <si>
    <t>Total Noise Figure</t>
  </si>
  <si>
    <t>NF_tot</t>
  </si>
  <si>
    <t>Resulting Margin</t>
  </si>
  <si>
    <t>Tx SNR</t>
  </si>
  <si>
    <t>Nsys</t>
  </si>
  <si>
    <t>Limit</t>
  </si>
  <si>
    <t>Target System SNR</t>
  </si>
  <si>
    <t>Rx Power</t>
  </si>
  <si>
    <t>Receiver</t>
  </si>
  <si>
    <t>OTA path</t>
  </si>
  <si>
    <t>Rx Antenna</t>
  </si>
  <si>
    <t>LNA</t>
  </si>
  <si>
    <t>Rx Cable</t>
  </si>
  <si>
    <t>Rx Noise Power</t>
  </si>
  <si>
    <t>Rx SNR</t>
  </si>
  <si>
    <t>OTA</t>
  </si>
  <si>
    <t>Results</t>
  </si>
  <si>
    <t>DUT</t>
  </si>
  <si>
    <t>SNR</t>
  </si>
  <si>
    <t>Total Gain</t>
  </si>
  <si>
    <t>G_tot</t>
  </si>
  <si>
    <t>dBi</t>
  </si>
  <si>
    <t>Antenna Gain</t>
  </si>
  <si>
    <t>Gain</t>
  </si>
  <si>
    <t>Noise Figure</t>
  </si>
  <si>
    <t>DANL</t>
  </si>
  <si>
    <t>Distance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</si>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</sst>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E+00"/>
    <numFmt numFmtId="166" formatCode="0.00000"/>
  </numFmts>
  <fonts count="27" x14ac:knownFonts="1">
    <font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34"/>
      <color theme="4"/>
      <name val="Arial Narrow"/>
      <family val="2"/>
      <scheme val="major"/>
    </font>
    <font>
      <sz val="24"/>
      <color theme="4"/>
      <name val="Arial Narrow"/>
      <family val="2"/>
      <scheme val="major"/>
    </font>
    <font>
      <b/>
      <sz val="14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5"/>
      <name val="Arial"/>
      <family val="2"/>
      <scheme val="minor"/>
    </font>
    <font>
      <sz val="10"/>
      <color theme="6"/>
      <name val="Arial"/>
      <family val="2"/>
      <scheme val="minor"/>
    </font>
    <font>
      <sz val="10"/>
      <color theme="2"/>
      <name val="Arial"/>
      <family val="2"/>
      <scheme val="minor"/>
    </font>
    <font>
      <b/>
      <sz val="10"/>
      <color rgb="FFFA7D00"/>
      <name val="Arial"/>
      <family val="2"/>
      <scheme val="minor"/>
    </font>
    <font>
      <b/>
      <sz val="10"/>
      <color theme="0"/>
      <name val="Arial"/>
      <family val="2"/>
      <scheme val="minor"/>
    </font>
    <font>
      <sz val="10"/>
      <color rgb="FF7F7F7F"/>
      <name val="Arial"/>
      <family val="2"/>
      <scheme val="minor"/>
    </font>
    <font>
      <sz val="10"/>
      <color rgb="FF3F3F76"/>
      <name val="Arial"/>
      <family val="2"/>
      <scheme val="minor"/>
    </font>
    <font>
      <sz val="10"/>
      <color rgb="FFFA7D00"/>
      <name val="Arial"/>
      <family val="2"/>
      <scheme val="minor"/>
    </font>
    <font>
      <b/>
      <sz val="10"/>
      <color rgb="FF3F3F3F"/>
      <name val="Arial"/>
      <family val="2"/>
      <scheme val="minor"/>
    </font>
    <font>
      <i/>
      <sz val="10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i/>
      <sz val="20"/>
      <name val="Helv"/>
    </font>
    <font>
      <b/>
      <sz val="10"/>
      <name val="Helv"/>
    </font>
    <font>
      <b/>
      <sz val="10"/>
      <color indexed="12"/>
      <name val="Helv"/>
    </font>
    <font>
      <i/>
      <sz val="10"/>
      <name val="Arial"/>
      <family val="2"/>
      <scheme val="minor"/>
    </font>
    <font>
      <b/>
      <sz val="10"/>
      <color rgb="FF000000"/>
      <name val="Arial"/>
      <family val="2"/>
    </font>
    <font>
      <b/>
      <i/>
      <sz val="2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b/>
      <sz val="11"/>
      <name val="Arial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1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Border="0" applyAlignment="0" applyProtection="0"/>
    <xf numFmtId="0" fontId="4" fillId="0" borderId="2" applyNumberFormat="0" applyFill="0" applyBorder="0" applyAlignment="0" applyProtection="0"/>
    <xf numFmtId="0" fontId="5" fillId="0" borderId="3" applyNumberFormat="0" applyFill="0" applyBorder="0" applyAlignment="0" applyProtection="0"/>
    <xf numFmtId="0" fontId="6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7" fillId="3" borderId="0" applyNumberFormat="0" applyBorder="0" applyAlignment="0" applyProtection="0"/>
    <xf numFmtId="0" fontId="9" fillId="4" borderId="0" applyNumberFormat="0" applyBorder="0" applyAlignment="0" applyProtection="0"/>
    <xf numFmtId="0" fontId="13" fillId="5" borderId="4" applyNumberFormat="0" applyAlignment="0" applyProtection="0"/>
    <xf numFmtId="0" fontId="15" fillId="6" borderId="5" applyNumberFormat="0" applyAlignment="0" applyProtection="0"/>
    <xf numFmtId="0" fontId="10" fillId="6" borderId="4" applyNumberFormat="0" applyAlignment="0" applyProtection="0"/>
    <xf numFmtId="0" fontId="14" fillId="0" borderId="6" applyNumberFormat="0" applyFill="0" applyAlignment="0" applyProtection="0"/>
    <xf numFmtId="0" fontId="11" fillId="7" borderId="7" applyNumberFormat="0" applyAlignment="0" applyProtection="0"/>
    <xf numFmtId="0" fontId="7" fillId="0" borderId="0" applyNumberFormat="0" applyFill="0" applyBorder="0" applyAlignment="0" applyProtection="0"/>
    <xf numFmtId="0" fontId="1" fillId="8" borderId="8" applyNumberFormat="0" applyAlignment="0" applyProtection="0"/>
    <xf numFmtId="0" fontId="12" fillId="0" borderId="0" applyNumberFormat="0" applyFill="0" applyBorder="0" applyAlignment="0" applyProtection="0"/>
    <xf numFmtId="0" fontId="6" fillId="0" borderId="9" applyNumberFormat="0" applyFill="0" applyAlignment="0" applyProtection="0"/>
  </cellStyleXfs>
  <cellXfs count="77">
    <xf numFmtId="0" fontId="0" fillId="0" borderId="0" xfId="0"/>
    <xf numFmtId="0" fontId="0" fillId="0" borderId="0" xfId="0" applyProtection="1">
      <protection locked="0"/>
    </xf>
    <xf numFmtId="11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2" fontId="16" fillId="0" borderId="0" xfId="0" applyNumberFormat="1" applyFont="1" applyFill="1" applyProtection="1">
      <protection locked="0"/>
    </xf>
    <xf numFmtId="2" fontId="6" fillId="0" borderId="0" xfId="0" applyNumberFormat="1" applyFont="1" applyProtection="1">
      <protection locked="0"/>
    </xf>
    <xf numFmtId="0" fontId="17" fillId="0" borderId="0" xfId="0" applyFont="1"/>
    <xf numFmtId="0" fontId="6" fillId="0" borderId="0" xfId="0" applyFont="1"/>
    <xf numFmtId="166" fontId="0" fillId="0" borderId="0" xfId="0" applyNumberFormat="1"/>
    <xf numFmtId="166" fontId="6" fillId="0" borderId="0" xfId="0" applyNumberFormat="1" applyFont="1"/>
    <xf numFmtId="0" fontId="18" fillId="0" borderId="0" xfId="0" applyFont="1"/>
    <xf numFmtId="0" fontId="1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left"/>
    </xf>
    <xf numFmtId="0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NumberFormat="1" applyFont="1" applyAlignment="1">
      <alignment horizontal="left"/>
    </xf>
    <xf numFmtId="0" fontId="20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center"/>
    </xf>
    <xf numFmtId="2" fontId="0" fillId="0" borderId="0" xfId="0" applyNumberFormat="1" applyFont="1" applyProtection="1">
      <protection locked="0"/>
    </xf>
    <xf numFmtId="2" fontId="0" fillId="0" borderId="0" xfId="0" applyNumberFormat="1"/>
    <xf numFmtId="0" fontId="11" fillId="11" borderId="12" xfId="0" applyFont="1" applyFill="1" applyBorder="1" applyAlignment="1" applyProtection="1">
      <alignment horizontal="right"/>
      <protection locked="0"/>
    </xf>
    <xf numFmtId="0" fontId="0" fillId="0" borderId="13" xfId="0" applyBorder="1" applyProtection="1">
      <protection locked="0"/>
    </xf>
    <xf numFmtId="0" fontId="0" fillId="0" borderId="0" xfId="0" applyBorder="1" applyProtection="1">
      <protection locked="0"/>
    </xf>
    <xf numFmtId="164" fontId="0" fillId="0" borderId="14" xfId="0" applyNumberFormat="1" applyBorder="1" applyProtection="1">
      <protection locked="0"/>
    </xf>
    <xf numFmtId="2" fontId="0" fillId="0" borderId="14" xfId="0" applyNumberFormat="1" applyBorder="1" applyProtection="1">
      <protection locked="0"/>
    </xf>
    <xf numFmtId="0" fontId="0" fillId="0" borderId="14" xfId="0" applyBorder="1" applyProtection="1">
      <protection locked="0"/>
    </xf>
    <xf numFmtId="2" fontId="0" fillId="0" borderId="14" xfId="0" applyNumberFormat="1" applyFont="1" applyFill="1" applyBorder="1" applyProtection="1">
      <protection locked="0"/>
    </xf>
    <xf numFmtId="2" fontId="16" fillId="9" borderId="14" xfId="0" applyNumberFormat="1" applyFont="1" applyFill="1" applyBorder="1" applyProtection="1"/>
    <xf numFmtId="2" fontId="16" fillId="0" borderId="14" xfId="0" applyNumberFormat="1" applyFont="1" applyFill="1" applyBorder="1" applyProtection="1">
      <protection locked="0"/>
    </xf>
    <xf numFmtId="164" fontId="16" fillId="9" borderId="14" xfId="0" applyNumberFormat="1" applyFont="1" applyFill="1" applyBorder="1" applyProtection="1"/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164" fontId="16" fillId="9" borderId="17" xfId="0" applyNumberFormat="1" applyFont="1" applyFill="1" applyBorder="1" applyProtection="1"/>
    <xf numFmtId="2" fontId="0" fillId="0" borderId="18" xfId="0" applyNumberFormat="1" applyBorder="1" applyProtection="1">
      <protection locked="0"/>
    </xf>
    <xf numFmtId="2" fontId="16" fillId="9" borderId="18" xfId="0" applyNumberFormat="1" applyFont="1" applyFill="1" applyBorder="1" applyProtection="1"/>
    <xf numFmtId="0" fontId="6" fillId="0" borderId="10" xfId="0" applyFont="1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2" fontId="21" fillId="0" borderId="0" xfId="0" applyNumberFormat="1" applyFont="1" applyFill="1" applyBorder="1" applyProtection="1">
      <protection locked="0"/>
    </xf>
    <xf numFmtId="2" fontId="16" fillId="10" borderId="18" xfId="0" applyNumberFormat="1" applyFont="1" applyFill="1" applyBorder="1" applyProtection="1">
      <protection locked="0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2" fontId="0" fillId="0" borderId="29" xfId="0" applyNumberFormat="1" applyBorder="1" applyProtection="1">
      <protection locked="0"/>
    </xf>
    <xf numFmtId="2" fontId="0" fillId="0" borderId="0" xfId="0" applyNumberFormat="1" applyBorder="1" applyProtection="1">
      <protection locked="0"/>
    </xf>
    <xf numFmtId="2" fontId="0" fillId="0" borderId="30" xfId="0" applyNumberFormat="1" applyBorder="1" applyProtection="1">
      <protection locked="0"/>
    </xf>
    <xf numFmtId="0" fontId="0" fillId="0" borderId="29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2" fontId="16" fillId="0" borderId="14" xfId="0" applyNumberFormat="1" applyFont="1" applyFill="1" applyBorder="1" applyProtection="1"/>
    <xf numFmtId="0" fontId="11" fillId="11" borderId="20" xfId="0" applyFont="1" applyFill="1" applyBorder="1" applyProtection="1"/>
    <xf numFmtId="0" fontId="11" fillId="11" borderId="10" xfId="0" applyFont="1" applyFill="1" applyBorder="1" applyProtection="1"/>
    <xf numFmtId="0" fontId="11" fillId="11" borderId="11" xfId="0" applyFont="1" applyFill="1" applyBorder="1" applyProtection="1"/>
    <xf numFmtId="0" fontId="0" fillId="0" borderId="25" xfId="0" applyBorder="1" applyProtection="1"/>
    <xf numFmtId="0" fontId="0" fillId="0" borderId="26" xfId="0" applyBorder="1" applyProtection="1"/>
    <xf numFmtId="0" fontId="0" fillId="0" borderId="27" xfId="0" applyBorder="1" applyProtection="1"/>
    <xf numFmtId="0" fontId="0" fillId="0" borderId="24" xfId="0" applyBorder="1" applyProtection="1"/>
    <xf numFmtId="2" fontId="0" fillId="0" borderId="19" xfId="0" applyNumberFormat="1" applyBorder="1" applyProtection="1"/>
    <xf numFmtId="0" fontId="0" fillId="0" borderId="14" xfId="0" applyFill="1" applyBorder="1" applyProtection="1"/>
    <xf numFmtId="0" fontId="0" fillId="0" borderId="0" xfId="0" applyNumberFormat="1" applyFont="1"/>
    <xf numFmtId="0" fontId="0" fillId="0" borderId="0" xfId="0" applyFont="1"/>
    <xf numFmtId="3" fontId="0" fillId="0" borderId="0" xfId="0" applyNumberFormat="1" applyFont="1" applyAlignment="1">
      <alignment horizontal="left"/>
    </xf>
    <xf numFmtId="0" fontId="23" fillId="0" borderId="0" xfId="0" applyFont="1"/>
    <xf numFmtId="0" fontId="24" fillId="0" borderId="0" xfId="0" applyNumberFormat="1" applyFont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NumberFormat="1" applyFont="1"/>
    <xf numFmtId="0" fontId="26" fillId="0" borderId="0" xfId="0" applyFont="1"/>
    <xf numFmtId="2" fontId="16" fillId="12" borderId="17" xfId="0" applyNumberFormat="1" applyFont="1" applyFill="1" applyBorder="1" applyProtection="1"/>
    <xf numFmtId="0" fontId="0" fillId="0" borderId="28" xfId="0" applyBorder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/>
    </xf>
    <xf numFmtId="0" fontId="0" fillId="0" borderId="22" xfId="0" applyBorder="1" applyAlignment="1" applyProtection="1">
      <alignment horizontal="center"/>
    </xf>
    <xf numFmtId="0" fontId="24" fillId="0" borderId="0" xfId="0" applyNumberFormat="1" applyFont="1" applyAlignment="1">
      <alignment horizontal="center"/>
    </xf>
  </cellXfs>
  <cellStyles count="18"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6">
    <dxf>
      <fill>
        <patternFill>
          <bgColor theme="0"/>
        </patternFill>
      </fill>
    </dxf>
    <dxf>
      <fill>
        <patternFill>
          <bgColor theme="7" tint="0.59996337778862885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theme="4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0"/>
        </vertical>
      </border>
    </dxf>
    <dxf>
      <font>
        <b/>
        <i val="0"/>
        <color theme="0"/>
      </font>
      <fill>
        <patternFill>
          <bgColor theme="4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0"/>
        </vertical>
      </border>
    </dxf>
    <dxf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font>
        <b/>
        <i val="0"/>
        <color theme="0"/>
      </font>
      <fill>
        <patternFill>
          <bgColor theme="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7" tint="0.59996337778862885"/>
        </patternFill>
      </fill>
    </dxf>
    <dxf>
      <font>
        <b/>
        <i val="0"/>
        <color auto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</font>
    </dxf>
    <dxf>
      <font>
        <b/>
        <i val="0"/>
        <color theme="0"/>
      </font>
      <fill>
        <patternFill>
          <bgColor theme="4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</border>
    </dxf>
    <dxf>
      <font>
        <b/>
        <i val="0"/>
        <color theme="0"/>
      </font>
      <fill>
        <patternFill>
          <bgColor theme="4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0"/>
        </vertical>
      </border>
    </dxf>
    <dxf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</dxfs>
  <tableStyles count="2" defaultTableStyle="TableStyleMedium2" defaultPivotStyle="Rohde &amp; Schwarz Coloured PrivotTable">
    <tableStyle name="Rohde &amp; Schwarz Coloured PrivotTable" table="0" count="10">
      <tableStyleElement type="wholeTable" dxfId="15"/>
      <tableStyleElement type="headerRow" dxfId="14"/>
      <tableStyleElement type="totalRow" dxfId="13"/>
      <tableStyleElement type="firstColumn" dxfId="12"/>
      <tableStyleElement type="lastColumn" dxfId="11"/>
      <tableStyleElement type="firstRowStripe" dxfId="10"/>
      <tableStyleElement type="secondRowStripe" dxfId="9"/>
      <tableStyleElement type="firstColumnSubheading" dxfId="8"/>
      <tableStyleElement type="pageFieldLabels" dxfId="7"/>
      <tableStyleElement type="pageFieldValues" dxfId="6"/>
    </tableStyle>
    <tableStyle name="Rohde &amp; Schwarz Coloured Table" pivot="0" count="6">
      <tableStyleElement type="wholeTable" dxfId="5"/>
      <tableStyleElement type="headerRow" dxfId="4"/>
      <tableStyleElement type="totalRow" dxfId="3"/>
      <tableStyleElement type="firstColumn" dxfId="2"/>
      <tableStyleElement type="firstRowStripe" dxfId="1"/>
      <tableStyleElement type="secondRowStripe" dxfId="0"/>
    </tableStyle>
  </tableStyles>
  <colors>
    <mruColors>
      <color rgb="FFDBDEE1"/>
      <color rgb="FFBDC2C7"/>
      <color rgb="FFAEB5BB"/>
      <color rgb="FFC0D0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OTA Link Budget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Signal Power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Calculations!$A$2:$A$7</c:f>
              <c:strCache>
                <c:ptCount val="6"/>
                <c:pt idx="0">
                  <c:v>DUT</c:v>
                </c:pt>
                <c:pt idx="1">
                  <c:v>OTA path</c:v>
                </c:pt>
                <c:pt idx="2">
                  <c:v>Rx Antenna</c:v>
                </c:pt>
                <c:pt idx="3">
                  <c:v>LNA</c:v>
                </c:pt>
                <c:pt idx="4">
                  <c:v>Rx Cable</c:v>
                </c:pt>
                <c:pt idx="5">
                  <c:v>Receiver</c:v>
                </c:pt>
              </c:strCache>
            </c:strRef>
          </c:cat>
          <c:val>
            <c:numRef>
              <c:f>Calculations!$B$2:$B$7</c:f>
              <c:numCache>
                <c:formatCode>General</c:formatCode>
                <c:ptCount val="6"/>
                <c:pt idx="0" formatCode="0.00">
                  <c:v>30</c:v>
                </c:pt>
                <c:pt idx="1">
                  <c:v>-31.384933471679688</c:v>
                </c:pt>
                <c:pt idx="2">
                  <c:v>-21.384933471679688</c:v>
                </c:pt>
                <c:pt idx="3">
                  <c:v>-6.3849334716796875</c:v>
                </c:pt>
                <c:pt idx="4">
                  <c:v>-10.384933471679688</c:v>
                </c:pt>
                <c:pt idx="5">
                  <c:v>-10.384933471679688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D7-49FB-A8C4-252B6E1BFA28}"/>
            </c:ext>
          </c:extLst>
        </c:ser>
        <c:ser>
          <c:idx val="3"/>
          <c:order val="1"/>
          <c:tx>
            <c:v>Noise Power</c:v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Calculations!$A$2:$A$7</c:f>
              <c:strCache>
                <c:ptCount val="6"/>
                <c:pt idx="0">
                  <c:v>DUT</c:v>
                </c:pt>
                <c:pt idx="1">
                  <c:v>OTA path</c:v>
                </c:pt>
                <c:pt idx="2">
                  <c:v>Rx Antenna</c:v>
                </c:pt>
                <c:pt idx="3">
                  <c:v>LNA</c:v>
                </c:pt>
                <c:pt idx="4">
                  <c:v>Rx Cable</c:v>
                </c:pt>
                <c:pt idx="5">
                  <c:v>Receiver</c:v>
                </c:pt>
              </c:strCache>
            </c:strRef>
          </c:cat>
          <c:val>
            <c:numRef>
              <c:f>Calculations!$D$2:$D$7</c:f>
              <c:numCache>
                <c:formatCode>General</c:formatCode>
                <c:ptCount val="6"/>
                <c:pt idx="0">
                  <c:v>-84.969100130080577</c:v>
                </c:pt>
                <c:pt idx="1">
                  <c:v>-84.969100952148438</c:v>
                </c:pt>
                <c:pt idx="2">
                  <c:v>-74.969100952148438</c:v>
                </c:pt>
                <c:pt idx="3">
                  <c:v>-59.722236633300781</c:v>
                </c:pt>
                <c:pt idx="4">
                  <c:v>-63.702667236328125</c:v>
                </c:pt>
                <c:pt idx="5">
                  <c:v>-54.427345275878906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CD-482F-8640-411F47975F02}"/>
            </c:ext>
          </c:extLst>
        </c:ser>
        <c:ser>
          <c:idx val="2"/>
          <c:order val="2"/>
          <c:tx>
            <c:v>Noise Limit</c:v>
          </c:tx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Calculations!$A$2:$A$7</c:f>
              <c:strCache>
                <c:ptCount val="6"/>
                <c:pt idx="0">
                  <c:v>DUT</c:v>
                </c:pt>
                <c:pt idx="1">
                  <c:v>OTA path</c:v>
                </c:pt>
                <c:pt idx="2">
                  <c:v>Rx Antenna</c:v>
                </c:pt>
                <c:pt idx="3">
                  <c:v>LNA</c:v>
                </c:pt>
                <c:pt idx="4">
                  <c:v>Rx Cable</c:v>
                </c:pt>
                <c:pt idx="5">
                  <c:v>Receiver</c:v>
                </c:pt>
              </c:strCache>
            </c:strRef>
          </c:cat>
          <c:val>
            <c:numRef>
              <c:f>Calculations!$C$2:$C$7</c:f>
              <c:numCache>
                <c:formatCode>General</c:formatCode>
                <c:ptCount val="6"/>
                <c:pt idx="0">
                  <c:v>-10</c:v>
                </c:pt>
                <c:pt idx="1">
                  <c:v>-71.384933471679688</c:v>
                </c:pt>
                <c:pt idx="2">
                  <c:v>-61.384933471679688</c:v>
                </c:pt>
                <c:pt idx="3">
                  <c:v>-46.384933471679688</c:v>
                </c:pt>
                <c:pt idx="4">
                  <c:v>-50.384933471679688</c:v>
                </c:pt>
                <c:pt idx="5">
                  <c:v>-50.384933471679688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CD-482F-8640-411F47975F02}"/>
            </c:ext>
          </c:extLst>
        </c:ser>
        <c:ser>
          <c:idx val="1"/>
          <c:order val="3"/>
          <c:tx>
            <c:v>SNR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Calculations!$A$2:$A$7</c:f>
              <c:strCache>
                <c:ptCount val="6"/>
                <c:pt idx="0">
                  <c:v>DUT</c:v>
                </c:pt>
                <c:pt idx="1">
                  <c:v>OTA path</c:v>
                </c:pt>
                <c:pt idx="2">
                  <c:v>Rx Antenna</c:v>
                </c:pt>
                <c:pt idx="3">
                  <c:v>LNA</c:v>
                </c:pt>
                <c:pt idx="4">
                  <c:v>Rx Cable</c:v>
                </c:pt>
                <c:pt idx="5">
                  <c:v>Receiver</c:v>
                </c:pt>
              </c:strCache>
            </c:strRef>
          </c:cat>
          <c:val>
            <c:numRef>
              <c:f>Calculations!$E$2:$E$7</c:f>
              <c:numCache>
                <c:formatCode>General</c:formatCode>
                <c:ptCount val="6"/>
                <c:pt idx="0">
                  <c:v>114.96910013008058</c:v>
                </c:pt>
                <c:pt idx="1">
                  <c:v>53.58416748046875</c:v>
                </c:pt>
                <c:pt idx="2">
                  <c:v>53.58416748046875</c:v>
                </c:pt>
                <c:pt idx="3">
                  <c:v>53.337303161621094</c:v>
                </c:pt>
                <c:pt idx="4">
                  <c:v>53.317733764648438</c:v>
                </c:pt>
                <c:pt idx="5">
                  <c:v>44.042411804199219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21-4377-B746-8E6DCA7D7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938112"/>
        <c:axId val="672938440"/>
      </c:lineChart>
      <c:catAx>
        <c:axId val="67293811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Stages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2938440"/>
        <c:crosses val="autoZero"/>
        <c:auto val="1"/>
        <c:lblAlgn val="ctr"/>
        <c:lblOffset val="100"/>
        <c:noMultiLvlLbl val="0"/>
      </c:catAx>
      <c:valAx>
        <c:axId val="672938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Power [dBm]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2938112"/>
        <c:crosses val="autoZero"/>
        <c:crossBetween val="between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809625</xdr:colOff>
          <xdr:row>19</xdr:row>
          <xdr:rowOff>0</xdr:rowOff>
        </xdr:from>
        <xdr:to>
          <xdr:col>2</xdr:col>
          <xdr:colOff>371475</xdr:colOff>
          <xdr:row>20</xdr:row>
          <xdr:rowOff>152400</xdr:rowOff>
        </xdr:to>
        <xdr:sp macro="" textlink="">
          <xdr:nvSpPr>
            <xdr:cNvPr id="1025" name="Button 1" descr="Calculate&#10;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809625</xdr:colOff>
          <xdr:row>32</xdr:row>
          <xdr:rowOff>152400</xdr:rowOff>
        </xdr:from>
        <xdr:to>
          <xdr:col>2</xdr:col>
          <xdr:colOff>371475</xdr:colOff>
          <xdr:row>35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17317</xdr:colOff>
      <xdr:row>22</xdr:row>
      <xdr:rowOff>8658</xdr:rowOff>
    </xdr:from>
    <xdr:to>
      <xdr:col>17</xdr:col>
      <xdr:colOff>458931</xdr:colOff>
      <xdr:row>42</xdr:row>
      <xdr:rowOff>155862</xdr:rowOff>
    </xdr:to>
    <xdr:graphicFrame macro="">
      <xdr:nvGraphicFramePr>
        <xdr:cNvPr id="47" name="Diagramm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152400</xdr:colOff>
      <xdr:row>4</xdr:row>
      <xdr:rowOff>137679</xdr:rowOff>
    </xdr:from>
    <xdr:to>
      <xdr:col>14</xdr:col>
      <xdr:colOff>0</xdr:colOff>
      <xdr:row>17</xdr:row>
      <xdr:rowOff>60614</xdr:rowOff>
    </xdr:to>
    <xdr:grpSp>
      <xdr:nvGrpSpPr>
        <xdr:cNvPr id="4" name="Group 3"/>
        <xdr:cNvGrpSpPr/>
      </xdr:nvGrpSpPr>
      <xdr:grpSpPr>
        <a:xfrm>
          <a:off x="5572991" y="795770"/>
          <a:ext cx="4739986" cy="2061730"/>
          <a:chOff x="5572991" y="795770"/>
          <a:chExt cx="4739986" cy="2061730"/>
        </a:xfrm>
      </xdr:grpSpPr>
      <xdr:sp macro="" textlink="">
        <xdr:nvSpPr>
          <xdr:cNvPr id="36" name="Rechteck 35"/>
          <xdr:cNvSpPr/>
        </xdr:nvSpPr>
        <xdr:spPr>
          <a:xfrm>
            <a:off x="5572991" y="795770"/>
            <a:ext cx="4739986" cy="2053071"/>
          </a:xfrm>
          <a:prstGeom prst="rect">
            <a:avLst/>
          </a:prstGeom>
          <a:solidFill>
            <a:srgbClr val="DBDEE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e-DE" sz="1500"/>
          </a:p>
        </xdr:txBody>
      </xdr:sp>
      <xdr:sp macro="" textlink="">
        <xdr:nvSpPr>
          <xdr:cNvPr id="37" name="Trapezoid 36"/>
          <xdr:cNvSpPr/>
        </xdr:nvSpPr>
        <xdr:spPr>
          <a:xfrm rot="16200000">
            <a:off x="5732780" y="1462690"/>
            <a:ext cx="446694" cy="502884"/>
          </a:xfrm>
          <a:prstGeom prst="trapezoid">
            <a:avLst>
              <a:gd name="adj" fmla="val 35885"/>
            </a:avLst>
          </a:prstGeom>
          <a:solidFill>
            <a:schemeClr val="accent2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e-DE" sz="1500"/>
          </a:p>
        </xdr:txBody>
      </xdr:sp>
      <xdr:sp macro="" textlink="">
        <xdr:nvSpPr>
          <xdr:cNvPr id="38" name="Trapezoid 37"/>
          <xdr:cNvSpPr/>
        </xdr:nvSpPr>
        <xdr:spPr>
          <a:xfrm rot="5400000">
            <a:off x="7778659" y="1462686"/>
            <a:ext cx="446694" cy="502884"/>
          </a:xfrm>
          <a:prstGeom prst="trapezoid">
            <a:avLst>
              <a:gd name="adj" fmla="val 35885"/>
            </a:avLst>
          </a:prstGeom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e-DE" sz="1500"/>
          </a:p>
        </xdr:txBody>
      </xdr:sp>
      <xdr:cxnSp macro="">
        <xdr:nvCxnSpPr>
          <xdr:cNvPr id="39" name="Gerade Verbindung mit Pfeil 38"/>
          <xdr:cNvCxnSpPr/>
        </xdr:nvCxnSpPr>
        <xdr:spPr>
          <a:xfrm>
            <a:off x="6482196" y="1714128"/>
            <a:ext cx="935182" cy="0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Gerader Verbinder 39"/>
          <xdr:cNvCxnSpPr/>
        </xdr:nvCxnSpPr>
        <xdr:spPr>
          <a:xfrm>
            <a:off x="6207569" y="1937479"/>
            <a:ext cx="0" cy="911362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Gerader Verbinder 40"/>
          <xdr:cNvCxnSpPr/>
        </xdr:nvCxnSpPr>
        <xdr:spPr>
          <a:xfrm>
            <a:off x="7750565" y="1945788"/>
            <a:ext cx="0" cy="911712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Gerader Verbinder 41"/>
          <xdr:cNvCxnSpPr/>
        </xdr:nvCxnSpPr>
        <xdr:spPr>
          <a:xfrm>
            <a:off x="6207569" y="2004729"/>
            <a:ext cx="1542995" cy="4159"/>
          </a:xfrm>
          <a:prstGeom prst="line">
            <a:avLst/>
          </a:prstGeom>
          <a:ln w="6350">
            <a:solidFill>
              <a:schemeClr val="tx1"/>
            </a:solidFill>
            <a:headEnd type="arrow" w="sm" len="med"/>
            <a:tailEnd type="arrow" w="sm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3" name="Textfeld 21"/>
          <xdr:cNvSpPr txBox="1"/>
        </xdr:nvSpPr>
        <xdr:spPr>
          <a:xfrm>
            <a:off x="6898121" y="2008881"/>
            <a:ext cx="98870" cy="241912"/>
          </a:xfrm>
          <a:prstGeom prst="rect">
            <a:avLst/>
          </a:prstGeom>
          <a:noFill/>
        </xdr:spPr>
        <xdr:txBody>
          <a:bodyPr wrap="square" lIns="0" tIns="0" rIns="0" bIns="0" rtlCol="0"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120000"/>
              </a:lnSpc>
            </a:pPr>
            <a:r>
              <a:rPr lang="de-DE" sz="1400"/>
              <a:t>d</a:t>
            </a:r>
          </a:p>
        </xdr:txBody>
      </xdr:sp>
      <xdr:sp macro="" textlink="">
        <xdr:nvSpPr>
          <xdr:cNvPr id="45" name="Textfeld 23"/>
          <xdr:cNvSpPr txBox="1"/>
        </xdr:nvSpPr>
        <xdr:spPr>
          <a:xfrm>
            <a:off x="7750565" y="1156563"/>
            <a:ext cx="285298" cy="367229"/>
          </a:xfrm>
          <a:prstGeom prst="rect">
            <a:avLst/>
          </a:prstGeom>
          <a:noFill/>
        </xdr:spPr>
        <xdr:txBody>
          <a:bodyPr wrap="square" lIns="0" tIns="0" rIns="0" bIns="0" rtlCol="0"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120000"/>
              </a:lnSpc>
            </a:pPr>
            <a:r>
              <a:rPr lang="de-DE" sz="1400"/>
              <a:t>G</a:t>
            </a:r>
            <a:r>
              <a:rPr lang="de-DE" sz="1400" baseline="-25000"/>
              <a:t>Rx</a:t>
            </a:r>
          </a:p>
        </xdr:txBody>
      </xdr:sp>
      <xdr:sp macro="" textlink="">
        <xdr:nvSpPr>
          <xdr:cNvPr id="46" name="Textfeld 24"/>
          <xdr:cNvSpPr txBox="1"/>
        </xdr:nvSpPr>
        <xdr:spPr>
          <a:xfrm>
            <a:off x="6755810" y="1156563"/>
            <a:ext cx="446513" cy="367229"/>
          </a:xfrm>
          <a:prstGeom prst="rect">
            <a:avLst/>
          </a:prstGeom>
          <a:noFill/>
        </xdr:spPr>
        <xdr:txBody>
          <a:bodyPr wrap="square" lIns="0" tIns="0" rIns="0" bIns="0" rtlCol="0"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120000"/>
              </a:lnSpc>
            </a:pPr>
            <a:r>
              <a:rPr lang="de-DE" sz="1400"/>
              <a:t>FSPL</a:t>
            </a:r>
          </a:p>
        </xdr:txBody>
      </xdr:sp>
      <xdr:sp macro="" textlink="">
        <xdr:nvSpPr>
          <xdr:cNvPr id="50" name="Textfeld 30"/>
          <xdr:cNvSpPr txBox="1"/>
        </xdr:nvSpPr>
        <xdr:spPr>
          <a:xfrm>
            <a:off x="9003062" y="1126947"/>
            <a:ext cx="266161" cy="238452"/>
          </a:xfrm>
          <a:prstGeom prst="rect">
            <a:avLst/>
          </a:prstGeom>
          <a:noFill/>
        </xdr:spPr>
        <xdr:txBody>
          <a:bodyPr wrap="square" lIns="0" tIns="0" rIns="0" bIns="0" rtlCol="0"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120000"/>
              </a:lnSpc>
            </a:pPr>
            <a:r>
              <a:rPr lang="de-DE" sz="1400"/>
              <a:t>A</a:t>
            </a:r>
            <a:r>
              <a:rPr lang="de-DE" sz="1400" baseline="-25000"/>
              <a:t>Rx</a:t>
            </a:r>
          </a:p>
        </xdr:txBody>
      </xdr:sp>
      <xdr:sp macro="" textlink="">
        <xdr:nvSpPr>
          <xdr:cNvPr id="52" name="Textfeld 32"/>
          <xdr:cNvSpPr txBox="1"/>
        </xdr:nvSpPr>
        <xdr:spPr>
          <a:xfrm>
            <a:off x="9494127" y="986882"/>
            <a:ext cx="659524" cy="445727"/>
          </a:xfrm>
          <a:prstGeom prst="rect">
            <a:avLst/>
          </a:prstGeom>
          <a:noFill/>
        </xdr:spPr>
        <xdr:txBody>
          <a:bodyPr wrap="square" lIns="0" tIns="0" rIns="0" bIns="0" rtlCol="0"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120000"/>
              </a:lnSpc>
            </a:pPr>
            <a:r>
              <a:rPr lang="de-DE" sz="1400"/>
              <a:t>P</a:t>
            </a:r>
            <a:r>
              <a:rPr lang="de-DE" sz="1400" baseline="-25000"/>
              <a:t>Rx, </a:t>
            </a:r>
            <a:r>
              <a:rPr lang="de-DE" sz="1400" baseline="0"/>
              <a:t>N</a:t>
            </a:r>
            <a:r>
              <a:rPr lang="de-DE" sz="1400" baseline="-25000"/>
              <a:t>Rx</a:t>
            </a:r>
          </a:p>
          <a:p>
            <a:pPr>
              <a:lnSpc>
                <a:spcPct val="120000"/>
              </a:lnSpc>
            </a:pPr>
            <a:r>
              <a:rPr lang="de-DE" sz="1400" baseline="0"/>
              <a:t>SNR</a:t>
            </a:r>
            <a:r>
              <a:rPr lang="de-DE" sz="1400" baseline="-25000"/>
              <a:t>Rx</a:t>
            </a:r>
          </a:p>
        </xdr:txBody>
      </xdr:sp>
      <xdr:sp macro="" textlink="">
        <xdr:nvSpPr>
          <xdr:cNvPr id="33" name="Textfeld 22"/>
          <xdr:cNvSpPr txBox="1"/>
        </xdr:nvSpPr>
        <xdr:spPr>
          <a:xfrm>
            <a:off x="5986051" y="998174"/>
            <a:ext cx="457200" cy="211326"/>
          </a:xfrm>
          <a:prstGeom prst="rect">
            <a:avLst/>
          </a:prstGeom>
          <a:noFill/>
        </xdr:spPr>
        <xdr:txBody>
          <a:bodyPr wrap="square" lIns="0" tIns="0" rIns="0" bIns="0" rtlCol="0"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120000"/>
              </a:lnSpc>
            </a:pPr>
            <a:r>
              <a:rPr lang="de-DE" sz="1400" baseline="0"/>
              <a:t>EIRP</a:t>
            </a:r>
          </a:p>
        </xdr:txBody>
      </xdr:sp>
      <xdr:cxnSp macro="">
        <xdr:nvCxnSpPr>
          <xdr:cNvPr id="9" name="Gerade Verbindung mit Pfeil 8"/>
          <xdr:cNvCxnSpPr/>
        </xdr:nvCxnSpPr>
        <xdr:spPr>
          <a:xfrm>
            <a:off x="6215935" y="1197925"/>
            <a:ext cx="0" cy="291076"/>
          </a:xfrm>
          <a:prstGeom prst="straightConnector1">
            <a:avLst/>
          </a:prstGeom>
          <a:ln w="6350"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" name="Gleichschenkliges Dreieck 12"/>
          <xdr:cNvSpPr/>
        </xdr:nvSpPr>
        <xdr:spPr>
          <a:xfrm rot="5400000">
            <a:off x="8433919" y="1497040"/>
            <a:ext cx="324970" cy="439338"/>
          </a:xfrm>
          <a:prstGeom prst="triangle">
            <a:avLst/>
          </a:prstGeom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0" tIns="0" rIns="0" bIns="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DE" sz="2400" dirty="0"/>
          </a:p>
        </xdr:txBody>
      </xdr:sp>
      <xdr:sp macro="" textlink="">
        <xdr:nvSpPr>
          <xdr:cNvPr id="53" name="Textfeld 32"/>
          <xdr:cNvSpPr txBox="1"/>
        </xdr:nvSpPr>
        <xdr:spPr>
          <a:xfrm>
            <a:off x="8363316" y="1136805"/>
            <a:ext cx="468379" cy="391162"/>
          </a:xfrm>
          <a:prstGeom prst="rect">
            <a:avLst/>
          </a:prstGeom>
          <a:noFill/>
        </xdr:spPr>
        <xdr:txBody>
          <a:bodyPr wrap="square" lIns="0" tIns="0" rIns="0" bIns="0" rtlCol="0" anchor="t" anchorCtr="0"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120000"/>
              </a:lnSpc>
            </a:pPr>
            <a:r>
              <a:rPr lang="de-DE" sz="1400" baseline="0"/>
              <a:t>G</a:t>
            </a:r>
            <a:r>
              <a:rPr lang="de-DE" sz="1400" baseline="-25000"/>
              <a:t>LNA</a:t>
            </a:r>
          </a:p>
          <a:p>
            <a:pPr>
              <a:lnSpc>
                <a:spcPct val="120000"/>
              </a:lnSpc>
            </a:pPr>
            <a:r>
              <a:rPr lang="de-DE" sz="1400" baseline="0"/>
              <a:t>NF</a:t>
            </a:r>
            <a:r>
              <a:rPr lang="de-DE" sz="1400" baseline="-25000"/>
              <a:t>LNA</a:t>
            </a:r>
          </a:p>
        </xdr:txBody>
      </xdr:sp>
      <xdr:cxnSp macro="">
        <xdr:nvCxnSpPr>
          <xdr:cNvPr id="3" name="Gerader Verbinder 2"/>
          <xdr:cNvCxnSpPr>
            <a:stCxn id="38" idx="0"/>
            <a:endCxn id="13" idx="3"/>
          </xdr:cNvCxnSpPr>
        </xdr:nvCxnSpPr>
        <xdr:spPr>
          <a:xfrm>
            <a:off x="8253448" y="1714128"/>
            <a:ext cx="123286" cy="2582"/>
          </a:xfrm>
          <a:prstGeom prst="line">
            <a:avLst/>
          </a:prstGeom>
          <a:ln w="1905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Gerader Verbinder 7"/>
          <xdr:cNvCxnSpPr>
            <a:stCxn id="13" idx="0"/>
            <a:endCxn id="6" idx="1"/>
          </xdr:cNvCxnSpPr>
        </xdr:nvCxnSpPr>
        <xdr:spPr>
          <a:xfrm>
            <a:off x="8816072" y="1716709"/>
            <a:ext cx="699698" cy="7546"/>
          </a:xfrm>
          <a:prstGeom prst="line">
            <a:avLst/>
          </a:prstGeom>
          <a:ln w="1905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26" name="Gruppieren 25"/>
          <xdr:cNvGrpSpPr/>
        </xdr:nvGrpSpPr>
        <xdr:grpSpPr>
          <a:xfrm>
            <a:off x="9515770" y="1544255"/>
            <a:ext cx="643483" cy="360002"/>
            <a:chOff x="12995093" y="3412191"/>
            <a:chExt cx="642465" cy="451971"/>
          </a:xfrm>
        </xdr:grpSpPr>
        <xdr:sp macro="" textlink="">
          <xdr:nvSpPr>
            <xdr:cNvPr id="6" name="Rechteck 5"/>
            <xdr:cNvSpPr/>
          </xdr:nvSpPr>
          <xdr:spPr>
            <a:xfrm>
              <a:off x="12995093" y="3412191"/>
              <a:ext cx="642465" cy="451971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Overflow="clip" horzOverflow="clip" vert="horz" wrap="square" lIns="0" tIns="0" rIns="0" bIns="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/>
            <a:p>
              <a:pPr algn="l"/>
              <a:endParaRPr lang="de-DE" sz="2400" dirty="0"/>
            </a:p>
          </xdr:txBody>
        </xdr:sp>
        <xdr:sp macro="" textlink="">
          <xdr:nvSpPr>
            <xdr:cNvPr id="11" name="Rechteck 10"/>
            <xdr:cNvSpPr/>
          </xdr:nvSpPr>
          <xdr:spPr>
            <a:xfrm>
              <a:off x="13043647" y="3462615"/>
              <a:ext cx="414618" cy="3600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Overflow="clip" horzOverflow="clip" vert="horz" wrap="square" lIns="0" tIns="0" rIns="0" bIns="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/>
            <a:p>
              <a:pPr algn="l"/>
              <a:endParaRPr lang="de-DE" sz="2400" dirty="0"/>
            </a:p>
          </xdr:txBody>
        </xdr:sp>
        <xdr:cxnSp macro="">
          <xdr:nvCxnSpPr>
            <xdr:cNvPr id="17" name="Gerader Verbinder 16"/>
            <xdr:cNvCxnSpPr/>
          </xdr:nvCxnSpPr>
          <xdr:spPr>
            <a:xfrm>
              <a:off x="13204638" y="3511923"/>
              <a:ext cx="0" cy="288000"/>
            </a:xfrm>
            <a:prstGeom prst="line">
              <a:avLst/>
            </a:prstGeom>
            <a:ln w="952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" name="Gerader Verbinder 56"/>
            <xdr:cNvCxnSpPr/>
          </xdr:nvCxnSpPr>
          <xdr:spPr>
            <a:xfrm>
              <a:off x="13259360" y="3608294"/>
              <a:ext cx="0" cy="191629"/>
            </a:xfrm>
            <a:prstGeom prst="line">
              <a:avLst/>
            </a:prstGeom>
            <a:ln w="952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" name="Gerader Verbinder 57"/>
            <xdr:cNvCxnSpPr/>
          </xdr:nvCxnSpPr>
          <xdr:spPr>
            <a:xfrm>
              <a:off x="13314082" y="3692338"/>
              <a:ext cx="0" cy="107585"/>
            </a:xfrm>
            <a:prstGeom prst="line">
              <a:avLst/>
            </a:prstGeom>
            <a:ln w="952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" name="Gerader Verbinder 58"/>
            <xdr:cNvCxnSpPr/>
          </xdr:nvCxnSpPr>
          <xdr:spPr>
            <a:xfrm>
              <a:off x="13368804" y="3759573"/>
              <a:ext cx="0" cy="40350"/>
            </a:xfrm>
            <a:prstGeom prst="line">
              <a:avLst/>
            </a:prstGeom>
            <a:ln w="952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0" name="Gerader Verbinder 59"/>
            <xdr:cNvCxnSpPr/>
          </xdr:nvCxnSpPr>
          <xdr:spPr>
            <a:xfrm>
              <a:off x="13423527" y="3776382"/>
              <a:ext cx="0" cy="23541"/>
            </a:xfrm>
            <a:prstGeom prst="line">
              <a:avLst/>
            </a:prstGeom>
            <a:ln w="952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1" name="Gerader Verbinder 60"/>
            <xdr:cNvCxnSpPr/>
          </xdr:nvCxnSpPr>
          <xdr:spPr>
            <a:xfrm>
              <a:off x="13149916" y="3580279"/>
              <a:ext cx="0" cy="219644"/>
            </a:xfrm>
            <a:prstGeom prst="line">
              <a:avLst/>
            </a:prstGeom>
            <a:ln w="952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2" name="Gerader Verbinder 61"/>
            <xdr:cNvCxnSpPr/>
          </xdr:nvCxnSpPr>
          <xdr:spPr>
            <a:xfrm>
              <a:off x="13095194" y="3742764"/>
              <a:ext cx="0" cy="57159"/>
            </a:xfrm>
            <a:prstGeom prst="line">
              <a:avLst/>
            </a:prstGeom>
            <a:ln w="952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4" name="Textfeld 22"/>
          <xdr:cNvSpPr txBox="1"/>
        </xdr:nvSpPr>
        <xdr:spPr>
          <a:xfrm>
            <a:off x="5774769" y="2465651"/>
            <a:ext cx="373186" cy="211326"/>
          </a:xfrm>
          <a:prstGeom prst="rect">
            <a:avLst/>
          </a:prstGeom>
          <a:noFill/>
        </xdr:spPr>
        <xdr:txBody>
          <a:bodyPr wrap="square" lIns="0" tIns="0" rIns="0" bIns="0" rtlCol="0"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120000"/>
              </a:lnSpc>
            </a:pPr>
            <a:r>
              <a:rPr lang="de-DE" sz="1100" baseline="0"/>
              <a:t>DUT</a:t>
            </a:r>
          </a:p>
        </xdr:txBody>
      </xdr:sp>
      <xdr:sp macro="" textlink="">
        <xdr:nvSpPr>
          <xdr:cNvPr id="48" name="Textfeld 22"/>
          <xdr:cNvSpPr txBox="1"/>
        </xdr:nvSpPr>
        <xdr:spPr>
          <a:xfrm>
            <a:off x="6801736" y="2465651"/>
            <a:ext cx="697037" cy="211326"/>
          </a:xfrm>
          <a:prstGeom prst="rect">
            <a:avLst/>
          </a:prstGeom>
          <a:noFill/>
        </xdr:spPr>
        <xdr:txBody>
          <a:bodyPr wrap="square" lIns="0" tIns="0" rIns="0" bIns="0" rtlCol="0"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120000"/>
              </a:lnSpc>
            </a:pPr>
            <a:r>
              <a:rPr lang="de-DE" sz="1100" baseline="0"/>
              <a:t>OTA path</a:t>
            </a:r>
          </a:p>
        </xdr:txBody>
      </xdr:sp>
      <xdr:sp macro="" textlink="">
        <xdr:nvSpPr>
          <xdr:cNvPr id="49" name="Textfeld 22"/>
          <xdr:cNvSpPr txBox="1"/>
        </xdr:nvSpPr>
        <xdr:spPr>
          <a:xfrm>
            <a:off x="7729106" y="2393370"/>
            <a:ext cx="626918" cy="355889"/>
          </a:xfrm>
          <a:prstGeom prst="rect">
            <a:avLst/>
          </a:prstGeom>
          <a:noFill/>
        </xdr:spPr>
        <xdr:txBody>
          <a:bodyPr wrap="square" lIns="0" tIns="0" rIns="0" bIns="0" rtlCol="0"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ct val="120000"/>
              </a:lnSpc>
            </a:pPr>
            <a:r>
              <a:rPr lang="de-DE" sz="1100" baseline="0"/>
              <a:t>Rx Antenna</a:t>
            </a:r>
          </a:p>
        </xdr:txBody>
      </xdr:sp>
      <xdr:sp macro="" textlink="">
        <xdr:nvSpPr>
          <xdr:cNvPr id="51" name="Textfeld 22"/>
          <xdr:cNvSpPr txBox="1"/>
        </xdr:nvSpPr>
        <xdr:spPr>
          <a:xfrm>
            <a:off x="8465128" y="2465651"/>
            <a:ext cx="373186" cy="211326"/>
          </a:xfrm>
          <a:prstGeom prst="rect">
            <a:avLst/>
          </a:prstGeom>
          <a:noFill/>
        </xdr:spPr>
        <xdr:txBody>
          <a:bodyPr wrap="square" lIns="0" tIns="0" rIns="0" bIns="0" rtlCol="0"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120000"/>
              </a:lnSpc>
            </a:pPr>
            <a:r>
              <a:rPr lang="de-DE" sz="1100" baseline="0"/>
              <a:t>LNA</a:t>
            </a:r>
          </a:p>
        </xdr:txBody>
      </xdr:sp>
      <xdr:sp macro="" textlink="">
        <xdr:nvSpPr>
          <xdr:cNvPr id="54" name="Textfeld 22"/>
          <xdr:cNvSpPr txBox="1"/>
        </xdr:nvSpPr>
        <xdr:spPr>
          <a:xfrm>
            <a:off x="8941379" y="2371722"/>
            <a:ext cx="453736" cy="399185"/>
          </a:xfrm>
          <a:prstGeom prst="rect">
            <a:avLst/>
          </a:prstGeom>
          <a:noFill/>
        </xdr:spPr>
        <xdr:txBody>
          <a:bodyPr wrap="square" lIns="0" tIns="0" rIns="0" bIns="0" rtlCol="0"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ct val="120000"/>
              </a:lnSpc>
            </a:pPr>
            <a:r>
              <a:rPr lang="de-DE" sz="1100" baseline="0"/>
              <a:t>Rx Cable</a:t>
            </a:r>
          </a:p>
        </xdr:txBody>
      </xdr:sp>
      <xdr:sp macro="" textlink="">
        <xdr:nvSpPr>
          <xdr:cNvPr id="55" name="Textfeld 22"/>
          <xdr:cNvSpPr txBox="1"/>
        </xdr:nvSpPr>
        <xdr:spPr>
          <a:xfrm>
            <a:off x="9616788" y="2465651"/>
            <a:ext cx="600940" cy="211326"/>
          </a:xfrm>
          <a:prstGeom prst="rect">
            <a:avLst/>
          </a:prstGeom>
          <a:noFill/>
        </xdr:spPr>
        <xdr:txBody>
          <a:bodyPr wrap="square" lIns="0" tIns="0" rIns="0" bIns="0" rtlCol="0"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120000"/>
              </a:lnSpc>
            </a:pPr>
            <a:r>
              <a:rPr lang="de-DE" sz="1100" baseline="0"/>
              <a:t>Receiver</a:t>
            </a:r>
          </a:p>
        </xdr:txBody>
      </xdr:sp>
      <xdr:cxnSp macro="">
        <xdr:nvCxnSpPr>
          <xdr:cNvPr id="56" name="Gerader Verbinder 40"/>
          <xdr:cNvCxnSpPr/>
        </xdr:nvCxnSpPr>
        <xdr:spPr>
          <a:xfrm>
            <a:off x="8309942" y="1835727"/>
            <a:ext cx="0" cy="1013114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Gerader Verbinder 40"/>
          <xdr:cNvCxnSpPr/>
        </xdr:nvCxnSpPr>
        <xdr:spPr>
          <a:xfrm>
            <a:off x="8826024" y="1797628"/>
            <a:ext cx="0" cy="1051213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Gerader Verbinder 40"/>
          <xdr:cNvCxnSpPr/>
        </xdr:nvCxnSpPr>
        <xdr:spPr>
          <a:xfrm>
            <a:off x="9515288" y="1905000"/>
            <a:ext cx="0" cy="952500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Gerader Verbinder 41"/>
          <xdr:cNvCxnSpPr/>
        </xdr:nvCxnSpPr>
        <xdr:spPr>
          <a:xfrm>
            <a:off x="5589310" y="2287015"/>
            <a:ext cx="4723667" cy="0"/>
          </a:xfrm>
          <a:prstGeom prst="line">
            <a:avLst/>
          </a:prstGeom>
          <a:ln w="6350">
            <a:solidFill>
              <a:schemeClr val="tx1"/>
            </a:solidFill>
            <a:prstDash val="dash"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16</xdr:col>
      <xdr:colOff>138545</xdr:colOff>
      <xdr:row>22</xdr:row>
      <xdr:rowOff>77932</xdr:rowOff>
    </xdr:from>
    <xdr:to>
      <xdr:col>17</xdr:col>
      <xdr:colOff>381001</xdr:colOff>
      <xdr:row>27</xdr:row>
      <xdr:rowOff>51954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811" t="13385" r="12598" b="14174"/>
        <a:stretch/>
      </xdr:blipFill>
      <xdr:spPr>
        <a:xfrm>
          <a:off x="11629159" y="3697432"/>
          <a:ext cx="831274" cy="7966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638175</xdr:colOff>
      <xdr:row>22</xdr:row>
      <xdr:rowOff>28575</xdr:rowOff>
    </xdr:from>
    <xdr:to>
      <xdr:col>3</xdr:col>
      <xdr:colOff>455181</xdr:colOff>
      <xdr:row>32</xdr:row>
      <xdr:rowOff>133927</xdr:rowOff>
    </xdr:to>
    <xdr:grpSp>
      <xdr:nvGrpSpPr>
        <xdr:cNvPr id="2" name="Gruppieren 1"/>
        <xdr:cNvGrpSpPr/>
      </xdr:nvGrpSpPr>
      <xdr:grpSpPr>
        <a:xfrm>
          <a:off x="1962150" y="3781425"/>
          <a:ext cx="1455306" cy="1724602"/>
          <a:chOff x="5364000" y="2750400"/>
          <a:chExt cx="1800000" cy="1641600"/>
        </a:xfrm>
      </xdr:grpSpPr>
      <xdr:sp macro="" textlink="">
        <xdr:nvSpPr>
          <xdr:cNvPr id="3" name="Rechteck 2"/>
          <xdr:cNvSpPr/>
        </xdr:nvSpPr>
        <xdr:spPr>
          <a:xfrm>
            <a:off x="5364000" y="2973710"/>
            <a:ext cx="1800000" cy="1188000"/>
          </a:xfrm>
          <a:prstGeom prst="rect">
            <a:avLst/>
          </a:prstGeom>
          <a:solidFill>
            <a:schemeClr val="bg1">
              <a:lumMod val="65000"/>
            </a:schemeClr>
          </a:solidFill>
          <a:ln w="9525">
            <a:solidFill>
              <a:schemeClr val="bg1">
                <a:lumMod val="75000"/>
              </a:schemeClr>
            </a:solidFill>
          </a:ln>
          <a:effectLst>
            <a:innerShdw blurRad="63500" dist="50800" dir="13500000">
              <a:prstClr val="black">
                <a:alpha val="50000"/>
              </a:prstClr>
            </a:innerShdw>
          </a:effectLst>
          <a:scene3d>
            <a:camera prst="isometricOffAxis2Right"/>
            <a:lightRig rig="harsh" dir="t">
              <a:rot lat="0" lon="0" rev="0"/>
            </a:lightRig>
          </a:scene3d>
          <a:sp3d extrusionH="6350" contourW="6350" prstMaterial="metal">
            <a:bevelB w="514350" h="1384300"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e-DE" sz="1500"/>
          </a:p>
        </xdr:txBody>
      </xdr:sp>
      <xdr:cxnSp macro="">
        <xdr:nvCxnSpPr>
          <xdr:cNvPr id="4" name="Gerader Verbinder 3"/>
          <xdr:cNvCxnSpPr/>
        </xdr:nvCxnSpPr>
        <xdr:spPr>
          <a:xfrm flipH="1">
            <a:off x="5860800" y="2750400"/>
            <a:ext cx="806400" cy="1641600"/>
          </a:xfrm>
          <a:prstGeom prst="line">
            <a:avLst/>
          </a:prstGeom>
          <a:ln w="12700">
            <a:solidFill>
              <a:schemeClr val="tx1"/>
            </a:solidFill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Textfeld 29"/>
          <xdr:cNvSpPr txBox="1"/>
        </xdr:nvSpPr>
        <xdr:spPr>
          <a:xfrm>
            <a:off x="6122525" y="3316166"/>
            <a:ext cx="139462" cy="251544"/>
          </a:xfrm>
          <a:prstGeom prst="rect">
            <a:avLst/>
          </a:prstGeom>
          <a:noFill/>
        </xdr:spPr>
        <xdr:txBody>
          <a:bodyPr wrap="square" lIns="0" tIns="0" rIns="0" bIns="0" rtlCol="0">
            <a:sp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120000"/>
              </a:lnSpc>
            </a:pPr>
            <a:r>
              <a:rPr lang="de-DE" sz="1500"/>
              <a:t>D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_Rohde und Schwarz">
  <a:themeElements>
    <a:clrScheme name="Rohde &amp; Schwarz Colors">
      <a:dk1>
        <a:srgbClr val="000000"/>
      </a:dk1>
      <a:lt1>
        <a:srgbClr val="FFFFFF"/>
      </a:lt1>
      <a:dk2>
        <a:srgbClr val="165F9A"/>
      </a:dk2>
      <a:lt2>
        <a:srgbClr val="F6960F"/>
      </a:lt2>
      <a:accent1>
        <a:srgbClr val="009DEC"/>
      </a:accent1>
      <a:accent2>
        <a:srgbClr val="EF2433"/>
      </a:accent2>
      <a:accent3>
        <a:srgbClr val="009759"/>
      </a:accent3>
      <a:accent4>
        <a:srgbClr val="AEB5BB"/>
      </a:accent4>
      <a:accent5>
        <a:srgbClr val="0091B1"/>
      </a:accent5>
      <a:accent6>
        <a:srgbClr val="5A3275"/>
      </a:accent6>
      <a:hlink>
        <a:srgbClr val="009DEC"/>
      </a:hlink>
      <a:folHlink>
        <a:srgbClr val="933973"/>
      </a:folHlink>
    </a:clrScheme>
    <a:fontScheme name="Rohde &amp; Schwarz Font">
      <a:majorFont>
        <a:latin typeface="Arial Narrow"/>
        <a:ea typeface="Arial Unicode MS"/>
        <a:cs typeface="Arial Unicode MS"/>
      </a:majorFont>
      <a:minorFont>
        <a:latin typeface="Arial"/>
        <a:ea typeface="Arial Unicode MS"/>
        <a:cs typeface="Arial Unicode MS"/>
      </a:minorFont>
    </a:fontScheme>
    <a:fmtScheme name="Couture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8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9050" h="3175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rot="0" spcFirstLastPara="0" vertOverflow="overflow" horzOverflow="overflow" vert="horz" wrap="square" lIns="0" tIns="0" rIns="0" bIns="0" numCol="1" spcCol="0" rtlCol="0" fromWordArt="0" anchor="t" anchorCtr="0" forceAA="0" compatLnSpc="1">
        <a:prstTxWarp prst="textNoShape">
          <a:avLst/>
        </a:prstTxWarp>
        <a:noAutofit/>
      </a:bodyPr>
      <a:lstStyle>
        <a:defPPr>
          <a:defRPr sz="2400" dirty="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38100"/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>
          <a:lnSpc>
            <a:spcPct val="120000"/>
          </a:lnSpc>
          <a:defRPr dirty="0" err="1" smtClean="0"/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I41"/>
  <sheetViews>
    <sheetView showGridLines="0" showRowColHeaders="0" tabSelected="1" showRuler="0" zoomScale="110" zoomScaleNormal="110" zoomScalePageLayoutView="120" workbookViewId="0">
      <selection activeCell="E7" sqref="E7"/>
    </sheetView>
  </sheetViews>
  <sheetFormatPr defaultColWidth="8.85546875" defaultRowHeight="12.75" x14ac:dyDescent="0.2"/>
  <cols>
    <col min="1" max="1" width="10.7109375" style="1" bestFit="1" customWidth="1"/>
    <col min="2" max="2" width="34.140625" style="1" bestFit="1" customWidth="1"/>
    <col min="3" max="3" width="9.42578125" style="1" bestFit="1" customWidth="1"/>
    <col min="4" max="4" width="7.7109375" style="1" bestFit="1" customWidth="1"/>
    <col min="5" max="5" width="10.42578125" style="1" bestFit="1" customWidth="1"/>
    <col min="6" max="6" width="8.85546875" style="1"/>
    <col min="7" max="7" width="11" style="1" bestFit="1" customWidth="1"/>
    <col min="8" max="8" width="8.85546875" style="1"/>
    <col min="9" max="9" width="9.28515625" style="1" bestFit="1" customWidth="1"/>
    <col min="10" max="16384" width="8.85546875" style="1"/>
  </cols>
  <sheetData>
    <row r="1" spans="1:9" x14ac:dyDescent="0.2">
      <c r="A1" s="52" t="s">
        <v>179</v>
      </c>
      <c r="B1" s="53" t="s">
        <v>4</v>
      </c>
      <c r="C1" s="54" t="s">
        <v>11</v>
      </c>
      <c r="D1" s="54" t="s">
        <v>5</v>
      </c>
      <c r="E1" s="23" t="s">
        <v>6</v>
      </c>
    </row>
    <row r="2" spans="1:9" x14ac:dyDescent="0.2">
      <c r="A2" s="74"/>
      <c r="B2" s="55" t="s">
        <v>3</v>
      </c>
      <c r="C2" s="55"/>
      <c r="D2" s="55" t="s">
        <v>7</v>
      </c>
      <c r="E2" s="26">
        <v>28</v>
      </c>
      <c r="I2" s="2"/>
    </row>
    <row r="3" spans="1:9" x14ac:dyDescent="0.2">
      <c r="A3" s="75"/>
      <c r="B3" s="56" t="s">
        <v>21</v>
      </c>
      <c r="C3" s="56"/>
      <c r="D3" s="56" t="s">
        <v>28</v>
      </c>
      <c r="E3" s="36">
        <v>800</v>
      </c>
      <c r="I3" s="2"/>
    </row>
    <row r="4" spans="1:9" x14ac:dyDescent="0.2">
      <c r="A4" s="70" t="s">
        <v>198</v>
      </c>
      <c r="B4" s="55"/>
      <c r="C4" s="55"/>
      <c r="D4" s="55"/>
      <c r="E4" s="28"/>
    </row>
    <row r="5" spans="1:9" x14ac:dyDescent="0.2">
      <c r="A5" s="72"/>
      <c r="B5" s="55" t="s">
        <v>20</v>
      </c>
      <c r="C5" s="55" t="s">
        <v>19</v>
      </c>
      <c r="D5" s="55" t="s">
        <v>8</v>
      </c>
      <c r="E5" s="31">
        <v>30</v>
      </c>
    </row>
    <row r="6" spans="1:9" x14ac:dyDescent="0.2">
      <c r="A6" s="71"/>
      <c r="B6" s="56" t="s">
        <v>184</v>
      </c>
      <c r="C6" s="56" t="s">
        <v>23</v>
      </c>
      <c r="D6" s="56" t="s">
        <v>9</v>
      </c>
      <c r="E6" s="42">
        <v>114.96910013008058</v>
      </c>
    </row>
    <row r="7" spans="1:9" x14ac:dyDescent="0.2">
      <c r="A7" s="70" t="s">
        <v>196</v>
      </c>
      <c r="B7" s="55"/>
      <c r="C7" s="55"/>
      <c r="D7" s="55"/>
      <c r="E7" s="29"/>
    </row>
    <row r="8" spans="1:9" x14ac:dyDescent="0.2">
      <c r="A8" s="72"/>
      <c r="B8" s="55" t="s">
        <v>207</v>
      </c>
      <c r="C8" s="55" t="s">
        <v>208</v>
      </c>
      <c r="D8" s="55" t="s">
        <v>10</v>
      </c>
      <c r="E8" s="27">
        <v>1</v>
      </c>
    </row>
    <row r="9" spans="1:9" x14ac:dyDescent="0.2">
      <c r="A9" s="71"/>
      <c r="B9" s="56" t="s">
        <v>13</v>
      </c>
      <c r="C9" s="56" t="s">
        <v>2</v>
      </c>
      <c r="D9" s="56" t="s">
        <v>9</v>
      </c>
      <c r="E9" s="37">
        <f>20*LOG10((4*PI()*E2*1000000000*E8)/300000000)</f>
        <v>61.384932812893062</v>
      </c>
    </row>
    <row r="10" spans="1:9" x14ac:dyDescent="0.2">
      <c r="A10" s="70" t="s">
        <v>191</v>
      </c>
      <c r="B10" s="55"/>
      <c r="C10" s="55"/>
      <c r="D10" s="55"/>
      <c r="E10" s="31"/>
    </row>
    <row r="11" spans="1:9" x14ac:dyDescent="0.2">
      <c r="A11" s="71"/>
      <c r="B11" s="56" t="s">
        <v>203</v>
      </c>
      <c r="C11" s="56" t="s">
        <v>0</v>
      </c>
      <c r="D11" s="56" t="s">
        <v>202</v>
      </c>
      <c r="E11" s="36">
        <v>10</v>
      </c>
    </row>
    <row r="12" spans="1:9" x14ac:dyDescent="0.2">
      <c r="A12" s="70" t="s">
        <v>192</v>
      </c>
      <c r="B12" s="55"/>
      <c r="C12" s="55"/>
      <c r="D12" s="55"/>
      <c r="E12" s="27"/>
    </row>
    <row r="13" spans="1:9" x14ac:dyDescent="0.2">
      <c r="A13" s="72"/>
      <c r="B13" s="55" t="s">
        <v>204</v>
      </c>
      <c r="C13" s="55" t="s">
        <v>25</v>
      </c>
      <c r="D13" s="55" t="s">
        <v>9</v>
      </c>
      <c r="E13" s="27">
        <v>15</v>
      </c>
    </row>
    <row r="14" spans="1:9" x14ac:dyDescent="0.2">
      <c r="A14" s="71"/>
      <c r="B14" s="56" t="s">
        <v>205</v>
      </c>
      <c r="C14" s="56" t="s">
        <v>26</v>
      </c>
      <c r="D14" s="56" t="s">
        <v>9</v>
      </c>
      <c r="E14" s="36">
        <v>2</v>
      </c>
    </row>
    <row r="15" spans="1:9" x14ac:dyDescent="0.2">
      <c r="A15" s="70" t="s">
        <v>193</v>
      </c>
      <c r="B15" s="55"/>
      <c r="C15" s="55"/>
      <c r="D15" s="55"/>
      <c r="E15" s="27"/>
    </row>
    <row r="16" spans="1:9" x14ac:dyDescent="0.2">
      <c r="A16" s="71"/>
      <c r="B16" s="56" t="s">
        <v>12</v>
      </c>
      <c r="C16" s="56" t="s">
        <v>1</v>
      </c>
      <c r="D16" s="56" t="s">
        <v>9</v>
      </c>
      <c r="E16" s="36">
        <v>4</v>
      </c>
    </row>
    <row r="17" spans="1:8" x14ac:dyDescent="0.2">
      <c r="A17" s="70" t="s">
        <v>189</v>
      </c>
      <c r="B17" s="55"/>
      <c r="C17" s="55"/>
      <c r="D17" s="55"/>
      <c r="E17" s="27"/>
    </row>
    <row r="18" spans="1:8" x14ac:dyDescent="0.2">
      <c r="A18" s="71"/>
      <c r="B18" s="56" t="s">
        <v>206</v>
      </c>
      <c r="C18" s="56" t="s">
        <v>27</v>
      </c>
      <c r="D18" s="56" t="s">
        <v>24</v>
      </c>
      <c r="E18" s="36">
        <v>-144</v>
      </c>
    </row>
    <row r="19" spans="1:8" x14ac:dyDescent="0.2">
      <c r="A19" s="48"/>
      <c r="B19" s="43"/>
      <c r="C19" s="43"/>
      <c r="D19" s="43"/>
      <c r="E19" s="45"/>
    </row>
    <row r="20" spans="1:8" x14ac:dyDescent="0.2">
      <c r="A20" s="49"/>
      <c r="B20" s="25"/>
      <c r="C20" s="25"/>
      <c r="D20" s="25"/>
      <c r="E20" s="46"/>
    </row>
    <row r="21" spans="1:8" x14ac:dyDescent="0.2">
      <c r="A21" s="49"/>
      <c r="B21" s="25"/>
      <c r="C21" s="25"/>
      <c r="D21" s="25"/>
      <c r="E21" s="46"/>
    </row>
    <row r="22" spans="1:8" x14ac:dyDescent="0.2">
      <c r="A22" s="50"/>
      <c r="B22" s="44"/>
      <c r="C22" s="44"/>
      <c r="D22" s="44"/>
      <c r="E22" s="47"/>
    </row>
    <row r="23" spans="1:8" x14ac:dyDescent="0.2">
      <c r="A23" s="70" t="s">
        <v>197</v>
      </c>
      <c r="B23" s="57"/>
      <c r="C23" s="57"/>
      <c r="D23" s="57"/>
      <c r="E23" s="59"/>
    </row>
    <row r="24" spans="1:8" x14ac:dyDescent="0.2">
      <c r="A24" s="72"/>
      <c r="B24" s="55" t="s">
        <v>188</v>
      </c>
      <c r="C24" s="55" t="s">
        <v>29</v>
      </c>
      <c r="D24" s="55" t="s">
        <v>8</v>
      </c>
      <c r="E24" s="30">
        <v>-10.384933471679688</v>
      </c>
    </row>
    <row r="25" spans="1:8" x14ac:dyDescent="0.2">
      <c r="A25" s="72"/>
      <c r="B25" s="55" t="s">
        <v>194</v>
      </c>
      <c r="C25" s="55" t="s">
        <v>180</v>
      </c>
      <c r="D25" s="55" t="s">
        <v>8</v>
      </c>
      <c r="E25" s="30">
        <v>-54.427345275878906</v>
      </c>
    </row>
    <row r="26" spans="1:8" x14ac:dyDescent="0.2">
      <c r="A26" s="72"/>
      <c r="B26" s="55" t="s">
        <v>195</v>
      </c>
      <c r="C26" s="55" t="s">
        <v>30</v>
      </c>
      <c r="D26" s="55" t="s">
        <v>9</v>
      </c>
      <c r="E26" s="30">
        <v>44.042411804199219</v>
      </c>
      <c r="F26" s="4"/>
      <c r="G26" s="21"/>
      <c r="H26" s="5"/>
    </row>
    <row r="27" spans="1:8" x14ac:dyDescent="0.2">
      <c r="A27" s="72"/>
      <c r="B27" s="55"/>
      <c r="C27" s="55"/>
      <c r="D27" s="55"/>
      <c r="E27" s="51"/>
      <c r="F27" s="4"/>
      <c r="G27" s="21"/>
      <c r="H27" s="5"/>
    </row>
    <row r="28" spans="1:8" x14ac:dyDescent="0.2">
      <c r="A28" s="72"/>
      <c r="B28" s="55" t="s">
        <v>200</v>
      </c>
      <c r="C28" s="55" t="s">
        <v>201</v>
      </c>
      <c r="D28" s="55" t="s">
        <v>9</v>
      </c>
      <c r="E28" s="30">
        <v>-40.384932812893062</v>
      </c>
      <c r="F28" s="4"/>
      <c r="G28" s="21"/>
      <c r="H28" s="5"/>
    </row>
    <row r="29" spans="1:8" x14ac:dyDescent="0.2">
      <c r="A29" s="72"/>
      <c r="B29" s="55" t="s">
        <v>181</v>
      </c>
      <c r="C29" s="55" t="s">
        <v>182</v>
      </c>
      <c r="D29" s="55" t="s">
        <v>9</v>
      </c>
      <c r="E29" s="30">
        <v>70.926686816818915</v>
      </c>
      <c r="F29" s="4"/>
      <c r="G29" s="21"/>
      <c r="H29" s="5"/>
    </row>
    <row r="30" spans="1:8" x14ac:dyDescent="0.2">
      <c r="A30" s="72"/>
      <c r="B30" s="55"/>
      <c r="C30" s="55"/>
      <c r="D30" s="55"/>
      <c r="E30" s="60"/>
      <c r="G30" s="3"/>
    </row>
    <row r="31" spans="1:8" x14ac:dyDescent="0.2">
      <c r="A31" s="72"/>
      <c r="B31" s="55" t="s">
        <v>187</v>
      </c>
      <c r="C31" s="55"/>
      <c r="D31" s="55" t="s">
        <v>9</v>
      </c>
      <c r="E31" s="28">
        <v>40</v>
      </c>
      <c r="G31" s="3"/>
    </row>
    <row r="32" spans="1:8" ht="13.5" thickBot="1" x14ac:dyDescent="0.25">
      <c r="A32" s="73"/>
      <c r="B32" s="58" t="s">
        <v>183</v>
      </c>
      <c r="C32" s="58"/>
      <c r="D32" s="58" t="s">
        <v>9</v>
      </c>
      <c r="E32" s="69">
        <v>4.0424118041992188</v>
      </c>
      <c r="G32" s="3"/>
    </row>
    <row r="33" spans="2:7" x14ac:dyDescent="0.2">
      <c r="G33" s="3"/>
    </row>
    <row r="34" spans="2:7" x14ac:dyDescent="0.2">
      <c r="B34" s="25"/>
      <c r="C34" s="25"/>
      <c r="D34" s="25"/>
      <c r="E34" s="41"/>
      <c r="G34" s="3"/>
    </row>
    <row r="37" spans="2:7" ht="13.5" thickBot="1" x14ac:dyDescent="0.25"/>
    <row r="38" spans="2:7" x14ac:dyDescent="0.2">
      <c r="B38" s="38" t="s">
        <v>22</v>
      </c>
      <c r="C38" s="39"/>
      <c r="D38" s="39"/>
      <c r="E38" s="40"/>
    </row>
    <row r="39" spans="2:7" x14ac:dyDescent="0.2">
      <c r="B39" s="24" t="s">
        <v>57</v>
      </c>
      <c r="C39" s="25" t="s">
        <v>16</v>
      </c>
      <c r="D39" s="25" t="s">
        <v>10</v>
      </c>
      <c r="E39" s="28">
        <v>3.3000000000000002E-2</v>
      </c>
    </row>
    <row r="40" spans="2:7" x14ac:dyDescent="0.2">
      <c r="B40" s="24" t="s">
        <v>17</v>
      </c>
      <c r="C40" s="25" t="s">
        <v>18</v>
      </c>
      <c r="D40" s="25" t="s">
        <v>10</v>
      </c>
      <c r="E40" s="32">
        <f>300000000/(E2*1000000000)</f>
        <v>1.0714285714285714E-2</v>
      </c>
    </row>
    <row r="41" spans="2:7" ht="13.5" thickBot="1" x14ac:dyDescent="0.25">
      <c r="B41" s="33" t="s">
        <v>14</v>
      </c>
      <c r="C41" s="34" t="s">
        <v>15</v>
      </c>
      <c r="D41" s="34" t="s">
        <v>10</v>
      </c>
      <c r="E41" s="35">
        <f>(2*E39^2)/E40</f>
        <v>0.20328000000000002</v>
      </c>
    </row>
  </sheetData>
  <sheetProtection password="C469" sheet="1" objects="1" scenarios="1"/>
  <mergeCells count="8">
    <mergeCell ref="A15:A16"/>
    <mergeCell ref="A17:A18"/>
    <mergeCell ref="A23:A32"/>
    <mergeCell ref="A4:A6"/>
    <mergeCell ref="A2:A3"/>
    <mergeCell ref="A7:A9"/>
    <mergeCell ref="A10:A11"/>
    <mergeCell ref="A12:A14"/>
  </mergeCells>
  <dataValidations xWindow="546" yWindow="433" count="15">
    <dataValidation allowBlank="1" showInputMessage="1" showErrorMessage="1" promptTitle="SNR of Transmit Signal" prompt="Leave empty for noiseless signal. In that case thermal noise floor will be used" sqref="E6"/>
    <dataValidation allowBlank="1" showInputMessage="1" showErrorMessage="1" promptTitle="EIRP" prompt="- Enter EIRP of DUT here_x000a_  OR_x000a_- leave empty. In that case EIRP is calculated from Input Power, Cable Loss and Tx Antenna Gain" sqref="E5"/>
    <dataValidation allowBlank="1" showInputMessage="1" showErrorMessage="1" promptTitle="FSPL" prompt="Calculated automatically" sqref="E9"/>
    <dataValidation allowBlank="1" showInputMessage="1" showErrorMessage="1" promptTitle="LNA Gain" prompt="leave emtpy if no LNA is used" sqref="E13"/>
    <dataValidation allowBlank="1" showInputMessage="1" showErrorMessage="1" promptTitle="LNA Noise Figure" prompt="leave empty if no LNA is used" sqref="E14"/>
    <dataValidation allowBlank="1" showInputMessage="1" showErrorMessage="1" promptTitle="Rx Cable Loss" prompt="Enter loss as positive value" sqref="E16"/>
    <dataValidation allowBlank="1" showInputMessage="1" showErrorMessage="1" promptTitle="Antenna Aperture" prompt="sheet &quot;Horn Calculator&quot; assists in computing antenna parameters" sqref="E39"/>
    <dataValidation allowBlank="1" showInputMessage="1" showErrorMessage="1" promptTitle="Far Field Distance" prompt="Distance d of OTA setup must be larger than the far field distance" sqref="E41"/>
    <dataValidation allowBlank="1" showInputMessage="1" showErrorMessage="1" promptTitle="Receiver DANL" prompt="Noise Figure (NF) to DANL conversion:_x000a__x000a_DANL = -174dBm/Hz + NF [dB]" sqref="E18"/>
    <dataValidation allowBlank="1" showInputMessage="1" showErrorMessage="1" prompt="Desired SNR at receiver incl. all components and Tx SNR" sqref="E31"/>
    <dataValidation allowBlank="1" showInputMessage="1" showErrorMessage="1" promptTitle="Margin" prompt="Difference between Target SNR and Rx SNR" sqref="E32"/>
    <dataValidation allowBlank="1" showInputMessage="1" showErrorMessage="1" promptTitle="Rx Power" prompt="Signal Power at Receiver input" sqref="E24"/>
    <dataValidation allowBlank="1" showInputMessage="1" showErrorMessage="1" promptTitle="Rx Noise Power" prompt="Received noise power including receiver noise" sqref="E25"/>
    <dataValidation allowBlank="1" showInputMessage="1" showErrorMessage="1" promptTitle="Rx SNR" prompt="SNR of received signal incl. receiver noise" sqref="E26:E28"/>
    <dataValidation allowBlank="1" showErrorMessage="1" promptTitle="Receiver DANL" prompt="Noise Figure (NF) to DANL conversion:_x000a__x000a_DANL = -174dBm/Hz + NF [dB]" sqref="E19 E20:E22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" altText="Calculate_x000a_">
                <anchor moveWithCells="1" sizeWithCells="1">
                  <from>
                    <xdr:col>1</xdr:col>
                    <xdr:colOff>809625</xdr:colOff>
                    <xdr:row>19</xdr:row>
                    <xdr:rowOff>0</xdr:rowOff>
                  </from>
                  <to>
                    <xdr:col>2</xdr:col>
                    <xdr:colOff>371475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 sizeWithCells="1">
                  <from>
                    <xdr:col>1</xdr:col>
                    <xdr:colOff>809625</xdr:colOff>
                    <xdr:row>32</xdr:row>
                    <xdr:rowOff>152400</xdr:rowOff>
                  </from>
                  <to>
                    <xdr:col>2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Y28"/>
  <sheetViews>
    <sheetView workbookViewId="0">
      <selection activeCell="N27" sqref="N27"/>
    </sheetView>
  </sheetViews>
  <sheetFormatPr defaultColWidth="8.85546875" defaultRowHeight="12.75" x14ac:dyDescent="0.2"/>
  <cols>
    <col min="1" max="1" width="19.85546875" bestFit="1" customWidth="1"/>
    <col min="2" max="2" width="12.28515625" bestFit="1" customWidth="1"/>
    <col min="3" max="3" width="12.28515625" customWidth="1"/>
    <col min="4" max="4" width="9.28515625" bestFit="1" customWidth="1"/>
    <col min="5" max="5" width="11.42578125" bestFit="1" customWidth="1"/>
    <col min="6" max="8" width="9.5703125" bestFit="1" customWidth="1"/>
    <col min="12" max="12" width="12.28515625" customWidth="1"/>
    <col min="13" max="13" width="13.28515625" bestFit="1" customWidth="1"/>
    <col min="14" max="14" width="14.140625" bestFit="1" customWidth="1"/>
    <col min="15" max="15" width="6" customWidth="1"/>
    <col min="16" max="16" width="13.140625" bestFit="1" customWidth="1"/>
    <col min="17" max="17" width="10.85546875" bestFit="1" customWidth="1"/>
  </cols>
  <sheetData>
    <row r="1" spans="1:25" x14ac:dyDescent="0.2">
      <c r="A1" t="s">
        <v>31</v>
      </c>
    </row>
    <row r="3" spans="1:25" ht="25.5" x14ac:dyDescent="0.35">
      <c r="A3" s="6" t="s">
        <v>33</v>
      </c>
      <c r="C3" t="s">
        <v>174</v>
      </c>
      <c r="D3" t="s">
        <v>172</v>
      </c>
      <c r="E3" t="s">
        <v>167</v>
      </c>
      <c r="F3" t="s">
        <v>32</v>
      </c>
      <c r="G3" t="s">
        <v>59</v>
      </c>
      <c r="H3" t="s">
        <v>166</v>
      </c>
      <c r="L3" s="68" t="s">
        <v>60</v>
      </c>
      <c r="M3" s="64"/>
      <c r="N3" s="64"/>
      <c r="O3" s="64"/>
      <c r="P3" s="64"/>
      <c r="Q3" s="64"/>
      <c r="R3" s="10"/>
      <c r="S3" s="11"/>
      <c r="T3" s="11"/>
      <c r="U3" s="11"/>
      <c r="V3" s="11"/>
      <c r="W3" s="11"/>
      <c r="X3" s="11"/>
      <c r="Y3" s="11"/>
    </row>
    <row r="4" spans="1:25" x14ac:dyDescent="0.2">
      <c r="A4" t="s">
        <v>177</v>
      </c>
      <c r="B4" t="s">
        <v>7</v>
      </c>
      <c r="C4" t="s">
        <v>175</v>
      </c>
      <c r="D4" t="s">
        <v>173</v>
      </c>
      <c r="E4" t="s">
        <v>168</v>
      </c>
      <c r="F4" t="s">
        <v>169</v>
      </c>
      <c r="G4" t="s">
        <v>170</v>
      </c>
      <c r="H4" t="s">
        <v>171</v>
      </c>
      <c r="L4" s="65" t="s">
        <v>61</v>
      </c>
      <c r="M4" s="65" t="s">
        <v>62</v>
      </c>
      <c r="N4" s="66" t="s">
        <v>62</v>
      </c>
      <c r="O4" s="76" t="s">
        <v>63</v>
      </c>
      <c r="P4" s="76"/>
      <c r="Q4" s="76"/>
      <c r="R4" s="13"/>
      <c r="S4" s="14"/>
      <c r="T4" s="15"/>
      <c r="U4" s="15"/>
      <c r="V4" s="15"/>
      <c r="W4" s="15"/>
      <c r="X4" s="15"/>
      <c r="Y4" s="15"/>
    </row>
    <row r="5" spans="1:25" x14ac:dyDescent="0.2">
      <c r="A5" t="s">
        <v>34</v>
      </c>
      <c r="B5" t="s">
        <v>35</v>
      </c>
      <c r="C5">
        <v>7.1000000000000004E-3</v>
      </c>
      <c r="D5">
        <v>5.7000000000000002E-3</v>
      </c>
      <c r="E5">
        <v>4.7999999999999996E-3</v>
      </c>
      <c r="F5">
        <v>3.8E-3</v>
      </c>
      <c r="G5">
        <v>3.0999999999999999E-3</v>
      </c>
      <c r="H5">
        <v>3.8E-3</v>
      </c>
      <c r="L5" s="66" t="s">
        <v>7</v>
      </c>
      <c r="M5" s="65" t="s">
        <v>64</v>
      </c>
      <c r="N5" s="65" t="s">
        <v>65</v>
      </c>
      <c r="O5" s="65" t="s">
        <v>66</v>
      </c>
      <c r="P5" s="65" t="s">
        <v>176</v>
      </c>
      <c r="Q5" s="65" t="s">
        <v>67</v>
      </c>
      <c r="R5" s="16"/>
      <c r="S5" s="17"/>
      <c r="T5" s="17"/>
      <c r="U5" s="18"/>
      <c r="V5" s="17"/>
      <c r="W5" s="17"/>
      <c r="X5" s="17"/>
      <c r="Y5" s="17"/>
    </row>
    <row r="6" spans="1:25" x14ac:dyDescent="0.2">
      <c r="A6" t="s">
        <v>36</v>
      </c>
      <c r="B6" t="s">
        <v>37</v>
      </c>
      <c r="C6">
        <v>3.5999999999999999E-3</v>
      </c>
      <c r="D6">
        <v>2.8999999999999998E-3</v>
      </c>
      <c r="E6">
        <v>2.3999999999999998E-3</v>
      </c>
      <c r="F6">
        <v>1.9E-3</v>
      </c>
      <c r="G6">
        <v>1.5499999999999999E-3</v>
      </c>
      <c r="H6">
        <v>1.9E-3</v>
      </c>
      <c r="L6" s="61" t="s">
        <v>68</v>
      </c>
      <c r="M6" s="61" t="s">
        <v>69</v>
      </c>
      <c r="N6" s="61" t="s">
        <v>70</v>
      </c>
      <c r="O6" s="61" t="s">
        <v>71</v>
      </c>
      <c r="P6" s="61" t="s">
        <v>72</v>
      </c>
      <c r="Q6" s="61" t="s">
        <v>73</v>
      </c>
      <c r="R6" s="19"/>
      <c r="S6" s="20"/>
      <c r="T6" s="20"/>
      <c r="U6" s="20"/>
      <c r="V6" s="20"/>
      <c r="W6" s="20"/>
      <c r="X6" s="20"/>
      <c r="Y6" s="20"/>
    </row>
    <row r="7" spans="1:25" x14ac:dyDescent="0.2">
      <c r="A7" t="s">
        <v>38</v>
      </c>
      <c r="B7" t="s">
        <v>39</v>
      </c>
      <c r="C7">
        <v>15</v>
      </c>
      <c r="D7">
        <v>20</v>
      </c>
      <c r="E7">
        <v>20</v>
      </c>
      <c r="F7">
        <v>15</v>
      </c>
      <c r="G7">
        <v>20</v>
      </c>
      <c r="H7">
        <v>20</v>
      </c>
      <c r="L7" s="61" t="s">
        <v>74</v>
      </c>
      <c r="M7" s="61" t="s">
        <v>75</v>
      </c>
      <c r="N7" s="61" t="s">
        <v>76</v>
      </c>
      <c r="O7" s="61" t="s">
        <v>77</v>
      </c>
      <c r="P7" s="61" t="s">
        <v>78</v>
      </c>
      <c r="Q7" s="61" t="s">
        <v>79</v>
      </c>
      <c r="S7" s="12"/>
      <c r="T7" s="20"/>
      <c r="U7" s="20"/>
      <c r="V7" s="12"/>
      <c r="W7" s="12"/>
      <c r="X7" s="12"/>
      <c r="Y7" s="12"/>
    </row>
    <row r="8" spans="1:25" x14ac:dyDescent="0.2">
      <c r="A8" t="s">
        <v>3</v>
      </c>
      <c r="B8" t="s">
        <v>40</v>
      </c>
      <c r="C8">
        <v>28</v>
      </c>
      <c r="D8">
        <v>42</v>
      </c>
      <c r="E8">
        <v>50</v>
      </c>
      <c r="F8">
        <v>62</v>
      </c>
      <c r="G8">
        <v>86</v>
      </c>
      <c r="H8">
        <v>92</v>
      </c>
      <c r="L8" s="61" t="s">
        <v>80</v>
      </c>
      <c r="M8" s="61" t="s">
        <v>81</v>
      </c>
      <c r="N8" s="61" t="s">
        <v>82</v>
      </c>
      <c r="O8" s="61" t="s">
        <v>83</v>
      </c>
      <c r="P8" s="61" t="s">
        <v>84</v>
      </c>
      <c r="Q8" s="61" t="s">
        <v>85</v>
      </c>
      <c r="S8" s="12"/>
      <c r="T8" s="20"/>
      <c r="U8" s="20"/>
      <c r="V8" s="20"/>
      <c r="W8" s="20"/>
      <c r="X8" s="12"/>
      <c r="Y8" s="20"/>
    </row>
    <row r="9" spans="1:25" ht="15" x14ac:dyDescent="0.25">
      <c r="A9" s="6" t="s">
        <v>41</v>
      </c>
      <c r="L9" s="61" t="s">
        <v>86</v>
      </c>
      <c r="M9" s="61" t="s">
        <v>87</v>
      </c>
      <c r="N9" s="61" t="s">
        <v>88</v>
      </c>
      <c r="O9" s="61" t="s">
        <v>89</v>
      </c>
      <c r="P9" s="61" t="s">
        <v>90</v>
      </c>
      <c r="Q9" s="61" t="s">
        <v>91</v>
      </c>
      <c r="S9" s="12"/>
      <c r="T9" s="20"/>
      <c r="U9" s="20"/>
      <c r="V9" s="12"/>
      <c r="W9" s="12"/>
      <c r="X9" s="12"/>
      <c r="Y9" s="12"/>
    </row>
    <row r="10" spans="1:25" x14ac:dyDescent="0.2">
      <c r="A10" t="s">
        <v>42</v>
      </c>
      <c r="B10" t="s">
        <v>43</v>
      </c>
      <c r="C10" s="8">
        <f t="shared" ref="C10:H10" si="0">10^(C7/10)</f>
        <v>31.622776601683803</v>
      </c>
      <c r="D10" s="8">
        <f t="shared" si="0"/>
        <v>100</v>
      </c>
      <c r="E10" s="8">
        <f t="shared" si="0"/>
        <v>100</v>
      </c>
      <c r="F10" s="8">
        <f t="shared" si="0"/>
        <v>31.622776601683803</v>
      </c>
      <c r="G10" s="8">
        <f t="shared" si="0"/>
        <v>100</v>
      </c>
      <c r="H10" s="8">
        <f t="shared" si="0"/>
        <v>100</v>
      </c>
      <c r="L10" s="61" t="s">
        <v>92</v>
      </c>
      <c r="M10" s="61" t="s">
        <v>93</v>
      </c>
      <c r="N10" s="61" t="s">
        <v>94</v>
      </c>
      <c r="O10" s="61" t="s">
        <v>95</v>
      </c>
      <c r="P10" s="61" t="s">
        <v>96</v>
      </c>
      <c r="Q10" s="61" t="s">
        <v>97</v>
      </c>
      <c r="S10" s="12"/>
      <c r="T10" s="20"/>
      <c r="U10" s="20"/>
      <c r="V10" s="12"/>
      <c r="W10" s="12"/>
      <c r="X10" s="12"/>
      <c r="Y10" s="12"/>
    </row>
    <row r="11" spans="1:25" x14ac:dyDescent="0.2">
      <c r="A11" t="s">
        <v>44</v>
      </c>
      <c r="B11" t="s">
        <v>45</v>
      </c>
      <c r="C11" s="8">
        <f t="shared" ref="C11:H11" si="1">300000000/C8/1000000000</f>
        <v>1.0714285714285714E-2</v>
      </c>
      <c r="D11" s="8">
        <f t="shared" si="1"/>
        <v>7.1428571428571426E-3</v>
      </c>
      <c r="E11" s="8">
        <f t="shared" si="1"/>
        <v>6.0000000000000001E-3</v>
      </c>
      <c r="F11" s="8">
        <f t="shared" si="1"/>
        <v>4.8387096774193551E-3</v>
      </c>
      <c r="G11" s="8">
        <f t="shared" si="1"/>
        <v>3.4883720930232558E-3</v>
      </c>
      <c r="H11" s="8">
        <f t="shared" si="1"/>
        <v>3.2608695652173911E-3</v>
      </c>
      <c r="L11" s="61" t="s">
        <v>98</v>
      </c>
      <c r="M11" s="61" t="s">
        <v>99</v>
      </c>
      <c r="N11" s="61" t="s">
        <v>100</v>
      </c>
      <c r="O11" s="61" t="s">
        <v>101</v>
      </c>
      <c r="P11" s="61" t="s">
        <v>102</v>
      </c>
      <c r="Q11" s="62" t="s">
        <v>103</v>
      </c>
      <c r="S11" s="20"/>
      <c r="T11" s="12"/>
      <c r="U11" s="12"/>
      <c r="V11" s="20"/>
      <c r="W11" s="12"/>
      <c r="X11" s="12"/>
      <c r="Y11" s="12"/>
    </row>
    <row r="12" spans="1:25" x14ac:dyDescent="0.2">
      <c r="A12" t="s">
        <v>46</v>
      </c>
      <c r="B12" t="s">
        <v>47</v>
      </c>
      <c r="C12" s="8">
        <f t="shared" ref="C12:H12" si="2">0.096*C5*(C10^0.232)+0.42*C11*(C10^0.503)-0.193*C6</f>
        <v>2.6393029017938389E-2</v>
      </c>
      <c r="D12" s="8">
        <f t="shared" si="2"/>
        <v>3.1450385979106439E-2</v>
      </c>
      <c r="E12" s="8">
        <f t="shared" si="2"/>
        <v>2.6428625368569426E-2</v>
      </c>
      <c r="F12" s="8">
        <f t="shared" si="2"/>
        <v>1.1993490777380919E-2</v>
      </c>
      <c r="G12" s="8">
        <f t="shared" si="2"/>
        <v>1.5422060182106579E-2</v>
      </c>
      <c r="H12" s="8">
        <f t="shared" si="2"/>
        <v>1.4581307278890442E-2</v>
      </c>
      <c r="L12" s="61" t="s">
        <v>104</v>
      </c>
      <c r="M12" s="61" t="s">
        <v>105</v>
      </c>
      <c r="N12" s="61" t="s">
        <v>106</v>
      </c>
      <c r="O12" s="61" t="s">
        <v>107</v>
      </c>
      <c r="P12" s="61" t="s">
        <v>108</v>
      </c>
      <c r="Q12" s="62" t="s">
        <v>109</v>
      </c>
      <c r="S12" s="20"/>
      <c r="T12" s="20"/>
      <c r="U12" s="20"/>
      <c r="V12" s="20"/>
      <c r="W12" s="20"/>
      <c r="X12" s="12"/>
      <c r="Y12" s="12"/>
    </row>
    <row r="13" spans="1:25" x14ac:dyDescent="0.2">
      <c r="B13" t="s">
        <v>48</v>
      </c>
      <c r="C13" s="8">
        <f t="shared" ref="C13:H13" si="3">C12*SQRT(1/4+(C12/3/C11)^2)</f>
        <v>2.5373465775063074E-2</v>
      </c>
      <c r="D13" s="8">
        <f t="shared" si="3"/>
        <v>4.8764310954816023E-2</v>
      </c>
      <c r="E13" s="8">
        <f t="shared" si="3"/>
        <v>4.099231032314412E-2</v>
      </c>
      <c r="F13" s="8">
        <f t="shared" si="3"/>
        <v>1.1582487320689377E-2</v>
      </c>
      <c r="G13" s="8">
        <f t="shared" si="3"/>
        <v>2.3999442167106581E-2</v>
      </c>
      <c r="H13" s="8">
        <f t="shared" si="3"/>
        <v>2.2924164028931722E-2</v>
      </c>
      <c r="L13" s="61" t="s">
        <v>110</v>
      </c>
      <c r="M13" s="61" t="s">
        <v>111</v>
      </c>
      <c r="N13" s="61" t="s">
        <v>112</v>
      </c>
      <c r="O13" s="61" t="s">
        <v>113</v>
      </c>
      <c r="P13" s="61" t="s">
        <v>114</v>
      </c>
      <c r="Q13" s="62" t="s">
        <v>115</v>
      </c>
      <c r="S13" s="20"/>
      <c r="T13" s="20"/>
      <c r="U13" s="12"/>
      <c r="V13" s="12"/>
      <c r="W13" s="20"/>
      <c r="X13" s="20"/>
      <c r="Y13" s="12"/>
    </row>
    <row r="14" spans="1:25" x14ac:dyDescent="0.2">
      <c r="B14" t="s">
        <v>49</v>
      </c>
      <c r="C14" s="8">
        <f t="shared" ref="C14:H14" si="4">(C12-C5)*SQRT((C13/C12)^2-0.25)</f>
        <v>1.5841823657780564E-2</v>
      </c>
      <c r="D14" s="8">
        <f t="shared" si="4"/>
        <v>3.7793446980513845E-2</v>
      </c>
      <c r="E14" s="8">
        <f t="shared" si="4"/>
        <v>3.1756379839058789E-2</v>
      </c>
      <c r="F14" s="8">
        <f t="shared" si="4"/>
        <v>6.7696116405895207E-3</v>
      </c>
      <c r="G14" s="8">
        <f t="shared" si="4"/>
        <v>1.815857068650541E-2</v>
      </c>
      <c r="H14" s="8">
        <f t="shared" si="4"/>
        <v>1.6069901106389835E-2</v>
      </c>
      <c r="L14" s="61" t="s">
        <v>116</v>
      </c>
      <c r="M14" s="61" t="s">
        <v>117</v>
      </c>
      <c r="N14" s="61" t="s">
        <v>118</v>
      </c>
      <c r="O14" s="61" t="s">
        <v>119</v>
      </c>
      <c r="P14" s="61" t="s">
        <v>120</v>
      </c>
      <c r="Q14" s="62" t="s">
        <v>121</v>
      </c>
      <c r="S14" s="12"/>
      <c r="T14" s="12"/>
      <c r="U14" s="12"/>
      <c r="V14" s="12"/>
      <c r="W14" s="12"/>
      <c r="X14" s="20"/>
      <c r="Y14" s="12"/>
    </row>
    <row r="15" spans="1:25" x14ac:dyDescent="0.2">
      <c r="B15" t="s">
        <v>50</v>
      </c>
      <c r="C15" s="8">
        <f t="shared" ref="C15:H15" si="5">SQRT(C13^2-(C12/2)^2)</f>
        <v>2.1671750511965172E-2</v>
      </c>
      <c r="D15" s="8">
        <f t="shared" si="5"/>
        <v>4.6159249650956156E-2</v>
      </c>
      <c r="E15" s="8">
        <f t="shared" si="5"/>
        <v>3.8804013270677298E-2</v>
      </c>
      <c r="F15" s="8">
        <f t="shared" si="5"/>
        <v>9.9092410040905708E-3</v>
      </c>
      <c r="G15" s="8">
        <f t="shared" si="5"/>
        <v>2.272692762489387E-2</v>
      </c>
      <c r="H15" s="8">
        <f t="shared" si="5"/>
        <v>2.1733928911612167E-2</v>
      </c>
      <c r="L15" s="61" t="s">
        <v>122</v>
      </c>
      <c r="M15" s="61" t="s">
        <v>123</v>
      </c>
      <c r="N15" s="61" t="s">
        <v>124</v>
      </c>
      <c r="O15" s="61" t="s">
        <v>125</v>
      </c>
      <c r="P15" s="61" t="s">
        <v>126</v>
      </c>
      <c r="Q15" s="61" t="s">
        <v>127</v>
      </c>
      <c r="S15" s="12"/>
      <c r="T15" s="12"/>
      <c r="U15" s="20"/>
      <c r="V15" s="12"/>
      <c r="W15" s="12"/>
      <c r="X15" s="20"/>
      <c r="Y15" s="12"/>
    </row>
    <row r="16" spans="1:25" x14ac:dyDescent="0.2">
      <c r="A16" t="s">
        <v>51</v>
      </c>
      <c r="B16" t="s">
        <v>52</v>
      </c>
      <c r="C16" s="8">
        <f t="shared" ref="C16:H16" si="6">0.5*(C6+SQRT(C6^2+8*C14*C11))</f>
        <v>2.0312364781669128E-2</v>
      </c>
      <c r="D16" s="8">
        <f t="shared" si="6"/>
        <v>2.4731084283939872E-2</v>
      </c>
      <c r="E16" s="8">
        <f t="shared" si="6"/>
        <v>2.075803052632615E-2</v>
      </c>
      <c r="F16" s="8">
        <f t="shared" si="6"/>
        <v>9.0995319322880412E-3</v>
      </c>
      <c r="G16" s="8">
        <f t="shared" si="6"/>
        <v>1.2057212879749755E-2</v>
      </c>
      <c r="H16" s="8">
        <f t="shared" si="6"/>
        <v>1.1231352190629391E-2</v>
      </c>
      <c r="L16" s="61" t="s">
        <v>128</v>
      </c>
      <c r="M16" s="67" t="s">
        <v>129</v>
      </c>
      <c r="N16" s="61" t="s">
        <v>130</v>
      </c>
      <c r="O16" s="61" t="s">
        <v>131</v>
      </c>
      <c r="P16" s="61" t="s">
        <v>132</v>
      </c>
      <c r="Q16" s="61" t="s">
        <v>133</v>
      </c>
      <c r="R16" s="19"/>
      <c r="S16" s="20"/>
      <c r="T16" s="20"/>
      <c r="U16" s="12"/>
      <c r="V16" s="12"/>
      <c r="W16" s="20"/>
      <c r="X16" s="20"/>
      <c r="Y16" s="20"/>
    </row>
    <row r="17" spans="1:25" x14ac:dyDescent="0.2">
      <c r="B17" t="s">
        <v>53</v>
      </c>
      <c r="C17" s="8">
        <f t="shared" ref="C17:H17" si="7">C16/2*SQRT(1+(C16/C11)^2)</f>
        <v>2.1768696458134097E-2</v>
      </c>
      <c r="D17" s="8">
        <f t="shared" si="7"/>
        <v>4.4563808089086526E-2</v>
      </c>
      <c r="E17" s="8">
        <f t="shared" si="7"/>
        <v>3.7377900053517502E-2</v>
      </c>
      <c r="F17" s="8">
        <f t="shared" si="7"/>
        <v>9.6906205073455376E-3</v>
      </c>
      <c r="G17" s="8">
        <f t="shared" si="7"/>
        <v>2.1691850892383627E-2</v>
      </c>
      <c r="H17" s="8">
        <f t="shared" si="7"/>
        <v>2.0140694097776243E-2</v>
      </c>
      <c r="L17" s="61" t="s">
        <v>134</v>
      </c>
      <c r="M17" s="61" t="s">
        <v>135</v>
      </c>
      <c r="N17" s="61" t="s">
        <v>136</v>
      </c>
      <c r="O17" s="61" t="s">
        <v>137</v>
      </c>
      <c r="P17" s="61" t="s">
        <v>138</v>
      </c>
      <c r="Q17" s="61" t="s">
        <v>139</v>
      </c>
      <c r="S17" s="12"/>
      <c r="T17" s="12"/>
      <c r="U17" s="12"/>
      <c r="V17" s="12"/>
      <c r="W17" s="20"/>
      <c r="X17" s="12"/>
      <c r="Y17" s="20"/>
    </row>
    <row r="18" spans="1:25" x14ac:dyDescent="0.2">
      <c r="B18" t="s">
        <v>54</v>
      </c>
      <c r="C18" s="8">
        <f t="shared" ref="C18:H18" si="8">(C16-C6)*SQRT((C17/C16)^2-0.25)</f>
        <v>1.5841823657780561E-2</v>
      </c>
      <c r="D18" s="8">
        <f t="shared" si="8"/>
        <v>3.7793446980513852E-2</v>
      </c>
      <c r="E18" s="8">
        <f t="shared" si="8"/>
        <v>3.1756379839058796E-2</v>
      </c>
      <c r="F18" s="8">
        <f t="shared" si="8"/>
        <v>6.7696116405895198E-3</v>
      </c>
      <c r="G18" s="8">
        <f t="shared" si="8"/>
        <v>1.8158570686505414E-2</v>
      </c>
      <c r="H18" s="8">
        <f t="shared" si="8"/>
        <v>1.6069901106389832E-2</v>
      </c>
      <c r="L18" s="61" t="s">
        <v>140</v>
      </c>
      <c r="M18" s="61" t="s">
        <v>141</v>
      </c>
      <c r="N18" s="61" t="s">
        <v>142</v>
      </c>
      <c r="O18" s="61" t="s">
        <v>143</v>
      </c>
      <c r="P18" s="61" t="s">
        <v>144</v>
      </c>
      <c r="Q18" s="61" t="s">
        <v>145</v>
      </c>
      <c r="R18" s="19"/>
      <c r="S18" s="12"/>
      <c r="T18" s="12"/>
      <c r="U18" s="12"/>
      <c r="V18" s="12"/>
      <c r="W18" s="20"/>
      <c r="X18" s="12"/>
      <c r="Y18" s="20"/>
    </row>
    <row r="19" spans="1:25" x14ac:dyDescent="0.2">
      <c r="B19" t="s">
        <v>55</v>
      </c>
      <c r="C19" s="8">
        <f t="shared" ref="C19:H19" si="9">SQRT(C17^2-(C16/2)^2)</f>
        <v>1.9254300941100977E-2</v>
      </c>
      <c r="D19" s="8">
        <f t="shared" si="9"/>
        <v>4.2813857090153645E-2</v>
      </c>
      <c r="E19" s="8">
        <f t="shared" si="9"/>
        <v>3.5907985944324025E-2</v>
      </c>
      <c r="F19" s="8">
        <f t="shared" si="9"/>
        <v>8.5561530766287402E-3</v>
      </c>
      <c r="G19" s="8">
        <f t="shared" si="9"/>
        <v>2.0837281481289816E-2</v>
      </c>
      <c r="H19" s="8">
        <f t="shared" si="9"/>
        <v>1.9341968377926531E-2</v>
      </c>
      <c r="L19" s="61" t="s">
        <v>146</v>
      </c>
      <c r="M19" s="61" t="s">
        <v>147</v>
      </c>
      <c r="N19" s="61" t="s">
        <v>148</v>
      </c>
      <c r="O19" s="62"/>
      <c r="P19" s="61" t="s">
        <v>149</v>
      </c>
      <c r="Q19" s="61" t="s">
        <v>150</v>
      </c>
      <c r="R19" s="19"/>
      <c r="S19" s="12"/>
      <c r="T19" s="12"/>
      <c r="U19" s="12"/>
      <c r="V19" s="12"/>
      <c r="W19" s="12"/>
      <c r="X19" s="20"/>
      <c r="Y19" s="20"/>
    </row>
    <row r="20" spans="1:25" x14ac:dyDescent="0.2">
      <c r="A20" s="7" t="s">
        <v>56</v>
      </c>
      <c r="B20" s="7" t="s">
        <v>58</v>
      </c>
      <c r="C20" s="9">
        <f t="shared" ref="C20:H20" si="10">SQRT(C12^2+C16^2)</f>
        <v>3.3304416280207194E-2</v>
      </c>
      <c r="D20" s="9">
        <f t="shared" si="10"/>
        <v>4.000941524309138E-2</v>
      </c>
      <c r="E20" s="9">
        <f t="shared" si="10"/>
        <v>3.3606071924640039E-2</v>
      </c>
      <c r="F20" s="9">
        <f t="shared" si="10"/>
        <v>1.5054743518700373E-2</v>
      </c>
      <c r="G20" s="9">
        <f t="shared" si="10"/>
        <v>1.9575911797107194E-2</v>
      </c>
      <c r="H20" s="9">
        <f t="shared" si="10"/>
        <v>1.840537405192785E-2</v>
      </c>
      <c r="L20" s="61" t="s">
        <v>151</v>
      </c>
      <c r="M20" s="63" t="s">
        <v>152</v>
      </c>
      <c r="N20" s="61" t="s">
        <v>153</v>
      </c>
      <c r="O20" s="62"/>
      <c r="P20" s="61" t="s">
        <v>154</v>
      </c>
      <c r="Q20" s="61" t="s">
        <v>155</v>
      </c>
      <c r="R20" s="19"/>
      <c r="S20" s="12"/>
      <c r="T20" s="12"/>
      <c r="U20" s="12"/>
      <c r="V20" s="12"/>
      <c r="W20" s="20"/>
      <c r="X20" s="12"/>
      <c r="Y20" s="20"/>
    </row>
    <row r="21" spans="1:25" x14ac:dyDescent="0.2">
      <c r="L21" s="61" t="s">
        <v>156</v>
      </c>
      <c r="M21" s="67" t="s">
        <v>157</v>
      </c>
      <c r="N21" s="61" t="s">
        <v>158</v>
      </c>
      <c r="O21" s="62"/>
      <c r="P21" s="61" t="s">
        <v>159</v>
      </c>
      <c r="Q21" s="61" t="s">
        <v>160</v>
      </c>
      <c r="R21" s="19"/>
      <c r="S21" s="20"/>
      <c r="T21" s="12"/>
      <c r="U21" s="12"/>
      <c r="V21" s="12"/>
      <c r="W21" s="20"/>
      <c r="X21" s="12"/>
      <c r="Y21" s="20"/>
    </row>
    <row r="22" spans="1:25" x14ac:dyDescent="0.2">
      <c r="L22" s="61" t="s">
        <v>161</v>
      </c>
      <c r="M22" s="61" t="s">
        <v>162</v>
      </c>
      <c r="N22" s="62" t="s">
        <v>163</v>
      </c>
      <c r="O22" s="62"/>
      <c r="P22" s="61" t="s">
        <v>164</v>
      </c>
      <c r="Q22" s="61" t="s">
        <v>165</v>
      </c>
      <c r="R22" s="19"/>
      <c r="S22" s="12"/>
      <c r="T22" s="12"/>
      <c r="U22" s="12"/>
      <c r="V22" s="12"/>
      <c r="W22" s="12"/>
      <c r="X22" s="12"/>
      <c r="Y22" s="20"/>
    </row>
    <row r="26" spans="1:25" x14ac:dyDescent="0.2">
      <c r="B26" s="1"/>
      <c r="C26" s="1"/>
      <c r="D26" s="1"/>
    </row>
    <row r="27" spans="1:25" x14ac:dyDescent="0.2">
      <c r="B27" s="1"/>
      <c r="C27" s="1"/>
      <c r="D27" s="1"/>
    </row>
    <row r="28" spans="1:25" x14ac:dyDescent="0.2">
      <c r="B28" s="1"/>
      <c r="C28" s="1"/>
      <c r="D28" s="1"/>
    </row>
  </sheetData>
  <mergeCells count="1">
    <mergeCell ref="O4:Q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E8"/>
  <sheetViews>
    <sheetView workbookViewId="0">
      <selection activeCell="F11" sqref="F11"/>
    </sheetView>
  </sheetViews>
  <sheetFormatPr defaultColWidth="8.85546875" defaultRowHeight="12.75" x14ac:dyDescent="0.2"/>
  <cols>
    <col min="1" max="1" width="16.7109375" bestFit="1" customWidth="1"/>
  </cols>
  <sheetData>
    <row r="1" spans="1:5" x14ac:dyDescent="0.2">
      <c r="A1" t="s">
        <v>179</v>
      </c>
      <c r="B1" t="s">
        <v>178</v>
      </c>
      <c r="C1" t="s">
        <v>186</v>
      </c>
      <c r="D1" t="s">
        <v>185</v>
      </c>
      <c r="E1" t="s">
        <v>199</v>
      </c>
    </row>
    <row r="2" spans="1:5" x14ac:dyDescent="0.2">
      <c r="A2" t="s">
        <v>198</v>
      </c>
      <c r="B2" s="22">
        <v>30</v>
      </c>
      <c r="C2">
        <v>-10</v>
      </c>
      <c r="D2">
        <v>-84.969100130080577</v>
      </c>
      <c r="E2">
        <v>114.96910013008058</v>
      </c>
    </row>
    <row r="3" spans="1:5" x14ac:dyDescent="0.2">
      <c r="A3" t="s">
        <v>190</v>
      </c>
      <c r="B3">
        <v>-31.384933471679688</v>
      </c>
      <c r="C3">
        <v>-71.384933471679688</v>
      </c>
      <c r="D3">
        <v>-84.969100952148438</v>
      </c>
      <c r="E3">
        <v>53.58416748046875</v>
      </c>
    </row>
    <row r="4" spans="1:5" x14ac:dyDescent="0.2">
      <c r="A4" t="s">
        <v>191</v>
      </c>
      <c r="B4">
        <v>-21.384933471679688</v>
      </c>
      <c r="C4">
        <v>-61.384933471679688</v>
      </c>
      <c r="D4">
        <v>-74.969100952148438</v>
      </c>
      <c r="E4">
        <v>53.58416748046875</v>
      </c>
    </row>
    <row r="5" spans="1:5" x14ac:dyDescent="0.2">
      <c r="A5" t="s">
        <v>192</v>
      </c>
      <c r="B5">
        <v>-6.3849334716796875</v>
      </c>
      <c r="C5">
        <v>-46.384933471679688</v>
      </c>
      <c r="D5">
        <v>-59.722236633300781</v>
      </c>
      <c r="E5">
        <v>53.337303161621094</v>
      </c>
    </row>
    <row r="6" spans="1:5" x14ac:dyDescent="0.2">
      <c r="A6" t="s">
        <v>193</v>
      </c>
      <c r="B6">
        <v>-10.384933471679688</v>
      </c>
      <c r="C6">
        <v>-50.384933471679688</v>
      </c>
      <c r="D6">
        <v>-63.702667236328125</v>
      </c>
      <c r="E6">
        <v>53.317733764648438</v>
      </c>
    </row>
    <row r="7" spans="1:5" x14ac:dyDescent="0.2">
      <c r="A7" t="s">
        <v>189</v>
      </c>
      <c r="B7">
        <v>-10.384933471679688</v>
      </c>
      <c r="C7">
        <v>-50.384933471679688</v>
      </c>
      <c r="D7">
        <v>-54.427345275878906</v>
      </c>
      <c r="E7">
        <v>44.042411804199219</v>
      </c>
    </row>
    <row r="8" spans="1:5" x14ac:dyDescent="0.2">
      <c r="B8">
        <v>1.9952011108398438</v>
      </c>
      <c r="C8">
        <v>-33.004798889160156</v>
      </c>
      <c r="D8">
        <v>-37.520038604736328</v>
      </c>
      <c r="E8">
        <v>39.515239715576172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Horn Calculator</vt:lpstr>
      <vt:lpstr>Calculations</vt:lpstr>
    </vt:vector>
  </TitlesOfParts>
  <Company>Rohde &amp; Schwarz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Michael 1EP1</dc:creator>
  <cp:lastModifiedBy>Simon Michael 1EP1</cp:lastModifiedBy>
  <cp:lastPrinted>2017-11-03T09:34:54Z</cp:lastPrinted>
  <dcterms:created xsi:type="dcterms:W3CDTF">2011-12-02T08:41:36Z</dcterms:created>
  <dcterms:modified xsi:type="dcterms:W3CDTF">2019-09-16T14:11:23Z</dcterms:modified>
</cp:coreProperties>
</file>